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ad07c6c1d2e7766/Documents/"/>
    </mc:Choice>
  </mc:AlternateContent>
  <xr:revisionPtr revIDLastSave="0" documentId="8_{1A2C6A04-862F-412B-86CA-E5DD157A48D7}" xr6:coauthVersionLast="47" xr6:coauthVersionMax="47" xr10:uidLastSave="{00000000-0000-0000-0000-000000000000}"/>
  <bookViews>
    <workbookView xWindow="-108" yWindow="-108" windowWidth="23256" windowHeight="12456" tabRatio="500" firstSheet="6" activeTab="11" xr2:uid="{00000000-000D-0000-FFFF-FFFF00000000}"/>
  </bookViews>
  <sheets>
    <sheet name="Dashboard" sheetId="1" r:id="rId1"/>
    <sheet name="Report" sheetId="2" r:id="rId2"/>
    <sheet name="Final Project Dataset" sheetId="3" r:id="rId3"/>
    <sheet name="Pivot_Tables" sheetId="4" r:id="rId4"/>
    <sheet name="FILTER_Demo" sheetId="5" r:id="rId5"/>
    <sheet name="High_Value_Customers" sheetId="6" r:id="rId6"/>
    <sheet name="Frequency_Match" sheetId="7" r:id="rId7"/>
    <sheet name="Text_Abbrev" sheetId="8" r:id="rId8"/>
    <sheet name="Date_Time" sheetId="9" r:id="rId9"/>
    <sheet name="WhatIf" sheetId="10" r:id="rId10"/>
    <sheet name="Regression" sheetId="14" r:id="rId11"/>
    <sheet name="HowTo" sheetId="15" r:id="rId12"/>
  </sheets>
  <definedNames>
    <definedName name="_xlnm._FilterDatabase" localSheetId="2" hidden="1">'Final Project Dataset'!$A$1:$T$251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6" l="1"/>
  <c r="B18" i="14"/>
  <c r="B17" i="14"/>
  <c r="C14" i="14"/>
  <c r="B8" i="14"/>
  <c r="B7" i="14"/>
  <c r="B5" i="14"/>
  <c r="B4" i="14"/>
  <c r="B7" i="10"/>
  <c r="B5" i="10"/>
  <c r="B4" i="10"/>
  <c r="B26" i="9"/>
  <c r="B25" i="9"/>
  <c r="B24" i="9"/>
  <c r="B23" i="9"/>
  <c r="B22" i="9"/>
  <c r="B6" i="9"/>
  <c r="B5" i="9"/>
  <c r="B4" i="9"/>
  <c r="B3" i="9"/>
  <c r="B12" i="9" s="1"/>
  <c r="D25" i="8"/>
  <c r="A25" i="8"/>
  <c r="D24" i="8"/>
  <c r="A24" i="8"/>
  <c r="D23" i="8"/>
  <c r="A23" i="8"/>
  <c r="D22" i="8"/>
  <c r="A22" i="8"/>
  <c r="D21" i="8"/>
  <c r="D20" i="8"/>
  <c r="D19" i="8"/>
  <c r="D18" i="8"/>
  <c r="D17" i="8"/>
  <c r="D16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I8" i="8"/>
  <c r="G8" i="8"/>
  <c r="D8" i="8"/>
  <c r="C8" i="8"/>
  <c r="B8" i="8"/>
  <c r="I7" i="8"/>
  <c r="G7" i="8"/>
  <c r="D7" i="8"/>
  <c r="C7" i="8"/>
  <c r="B7" i="8"/>
  <c r="I6" i="8"/>
  <c r="G6" i="8"/>
  <c r="D6" i="8"/>
  <c r="C6" i="8"/>
  <c r="B6" i="8"/>
  <c r="I5" i="8"/>
  <c r="G5" i="8"/>
  <c r="D5" i="8"/>
  <c r="C5" i="8"/>
  <c r="B5" i="8"/>
  <c r="I4" i="8"/>
  <c r="G4" i="8"/>
  <c r="D4" i="8"/>
  <c r="C4" i="8"/>
  <c r="B4" i="8"/>
  <c r="I21" i="7"/>
  <c r="J21" i="7" s="1"/>
  <c r="B21" i="7"/>
  <c r="I20" i="7"/>
  <c r="J20" i="7" s="1"/>
  <c r="K20" i="7" s="1"/>
  <c r="B20" i="7"/>
  <c r="I19" i="7"/>
  <c r="J19" i="7" s="1"/>
  <c r="B19" i="7"/>
  <c r="I18" i="7"/>
  <c r="J18" i="7" s="1"/>
  <c r="I17" i="7"/>
  <c r="J17" i="7" s="1"/>
  <c r="I16" i="7"/>
  <c r="J16" i="7" s="1"/>
  <c r="K16" i="7" s="1"/>
  <c r="I15" i="7"/>
  <c r="J15" i="7" s="1"/>
  <c r="K15" i="7" s="1"/>
  <c r="I14" i="7"/>
  <c r="J14" i="7" s="1"/>
  <c r="K14" i="7" s="1"/>
  <c r="I13" i="7"/>
  <c r="J13" i="7" s="1"/>
  <c r="C13" i="7"/>
  <c r="B13" i="7"/>
  <c r="I12" i="7"/>
  <c r="J12" i="7" s="1"/>
  <c r="C12" i="7"/>
  <c r="B12" i="7"/>
  <c r="I11" i="7"/>
  <c r="J11" i="7" s="1"/>
  <c r="K11" i="7" s="1"/>
  <c r="C11" i="7"/>
  <c r="B11" i="7"/>
  <c r="I10" i="7"/>
  <c r="J10" i="7" s="1"/>
  <c r="K10" i="7" s="1"/>
  <c r="C10" i="7"/>
  <c r="B10" i="7"/>
  <c r="I9" i="7"/>
  <c r="J9" i="7" s="1"/>
  <c r="K9" i="7" s="1"/>
  <c r="C9" i="7"/>
  <c r="B9" i="7"/>
  <c r="I8" i="7"/>
  <c r="J8" i="7" s="1"/>
  <c r="C8" i="7"/>
  <c r="B8" i="7"/>
  <c r="I7" i="7"/>
  <c r="J7" i="7" s="1"/>
  <c r="C7" i="7"/>
  <c r="B7" i="7"/>
  <c r="I6" i="7"/>
  <c r="J6" i="7" s="1"/>
  <c r="C6" i="7"/>
  <c r="B6" i="7"/>
  <c r="I5" i="7"/>
  <c r="J5" i="7" s="1"/>
  <c r="C5" i="7"/>
  <c r="B17" i="7" s="1"/>
  <c r="B5" i="7"/>
  <c r="C4" i="7"/>
  <c r="B4" i="7"/>
  <c r="G86" i="6"/>
  <c r="H86" i="6" s="1"/>
  <c r="E86" i="6"/>
  <c r="D86" i="6"/>
  <c r="C86" i="6"/>
  <c r="B86" i="6"/>
  <c r="G85" i="6"/>
  <c r="H85" i="6" s="1"/>
  <c r="E85" i="6"/>
  <c r="D85" i="6"/>
  <c r="C85" i="6"/>
  <c r="B85" i="6"/>
  <c r="G84" i="6"/>
  <c r="H84" i="6" s="1"/>
  <c r="E84" i="6"/>
  <c r="D84" i="6"/>
  <c r="C84" i="6"/>
  <c r="B84" i="6"/>
  <c r="G83" i="6"/>
  <c r="H83" i="6" s="1"/>
  <c r="E83" i="6"/>
  <c r="D83" i="6"/>
  <c r="C83" i="6"/>
  <c r="B83" i="6"/>
  <c r="G82" i="6"/>
  <c r="H82" i="6" s="1"/>
  <c r="E82" i="6"/>
  <c r="D82" i="6"/>
  <c r="C82" i="6"/>
  <c r="B82" i="6"/>
  <c r="G81" i="6"/>
  <c r="H81" i="6" s="1"/>
  <c r="E81" i="6"/>
  <c r="D81" i="6"/>
  <c r="C81" i="6"/>
  <c r="B81" i="6"/>
  <c r="G80" i="6"/>
  <c r="H80" i="6" s="1"/>
  <c r="E80" i="6"/>
  <c r="D80" i="6"/>
  <c r="C80" i="6"/>
  <c r="B80" i="6"/>
  <c r="G79" i="6"/>
  <c r="H79" i="6" s="1"/>
  <c r="E79" i="6"/>
  <c r="D79" i="6"/>
  <c r="C79" i="6"/>
  <c r="B79" i="6"/>
  <c r="G78" i="6"/>
  <c r="H78" i="6" s="1"/>
  <c r="E78" i="6"/>
  <c r="D78" i="6"/>
  <c r="C78" i="6"/>
  <c r="B78" i="6"/>
  <c r="G77" i="6"/>
  <c r="H77" i="6" s="1"/>
  <c r="E77" i="6"/>
  <c r="D77" i="6"/>
  <c r="C77" i="6"/>
  <c r="B77" i="6"/>
  <c r="G76" i="6"/>
  <c r="H76" i="6" s="1"/>
  <c r="E76" i="6"/>
  <c r="D76" i="6"/>
  <c r="C76" i="6"/>
  <c r="B76" i="6"/>
  <c r="G75" i="6"/>
  <c r="H75" i="6" s="1"/>
  <c r="E75" i="6"/>
  <c r="D75" i="6"/>
  <c r="C75" i="6"/>
  <c r="B75" i="6"/>
  <c r="G74" i="6"/>
  <c r="H74" i="6" s="1"/>
  <c r="E74" i="6"/>
  <c r="D74" i="6"/>
  <c r="C74" i="6"/>
  <c r="B74" i="6"/>
  <c r="G73" i="6"/>
  <c r="H73" i="6" s="1"/>
  <c r="E73" i="6"/>
  <c r="D73" i="6"/>
  <c r="C73" i="6"/>
  <c r="B73" i="6"/>
  <c r="G72" i="6"/>
  <c r="H72" i="6" s="1"/>
  <c r="E72" i="6"/>
  <c r="D72" i="6"/>
  <c r="C72" i="6"/>
  <c r="B72" i="6"/>
  <c r="G71" i="6"/>
  <c r="H71" i="6" s="1"/>
  <c r="E71" i="6"/>
  <c r="D71" i="6"/>
  <c r="C71" i="6"/>
  <c r="B71" i="6"/>
  <c r="G70" i="6"/>
  <c r="H70" i="6" s="1"/>
  <c r="E70" i="6"/>
  <c r="D70" i="6"/>
  <c r="C70" i="6"/>
  <c r="B70" i="6"/>
  <c r="G69" i="6"/>
  <c r="H69" i="6" s="1"/>
  <c r="E69" i="6"/>
  <c r="D69" i="6"/>
  <c r="C69" i="6"/>
  <c r="B69" i="6"/>
  <c r="G68" i="6"/>
  <c r="H68" i="6" s="1"/>
  <c r="E68" i="6"/>
  <c r="D68" i="6"/>
  <c r="C68" i="6"/>
  <c r="B68" i="6"/>
  <c r="G67" i="6"/>
  <c r="H67" i="6" s="1"/>
  <c r="E67" i="6"/>
  <c r="D67" i="6"/>
  <c r="C67" i="6"/>
  <c r="B67" i="6"/>
  <c r="G66" i="6"/>
  <c r="H66" i="6" s="1"/>
  <c r="E66" i="6"/>
  <c r="D66" i="6"/>
  <c r="C66" i="6"/>
  <c r="B66" i="6"/>
  <c r="G65" i="6"/>
  <c r="H65" i="6" s="1"/>
  <c r="E65" i="6"/>
  <c r="D65" i="6"/>
  <c r="C65" i="6"/>
  <c r="B65" i="6"/>
  <c r="G64" i="6"/>
  <c r="H64" i="6" s="1"/>
  <c r="E64" i="6"/>
  <c r="D64" i="6"/>
  <c r="C64" i="6"/>
  <c r="B64" i="6"/>
  <c r="G63" i="6"/>
  <c r="H63" i="6" s="1"/>
  <c r="E63" i="6"/>
  <c r="D63" i="6"/>
  <c r="C63" i="6"/>
  <c r="B63" i="6"/>
  <c r="G62" i="6"/>
  <c r="H62" i="6" s="1"/>
  <c r="E62" i="6"/>
  <c r="D62" i="6"/>
  <c r="C62" i="6"/>
  <c r="B62" i="6"/>
  <c r="G61" i="6"/>
  <c r="H61" i="6" s="1"/>
  <c r="E61" i="6"/>
  <c r="D61" i="6"/>
  <c r="C61" i="6"/>
  <c r="B61" i="6"/>
  <c r="G60" i="6"/>
  <c r="H60" i="6" s="1"/>
  <c r="E60" i="6"/>
  <c r="D60" i="6"/>
  <c r="C60" i="6"/>
  <c r="B60" i="6"/>
  <c r="G59" i="6"/>
  <c r="H59" i="6" s="1"/>
  <c r="E59" i="6"/>
  <c r="D59" i="6"/>
  <c r="C59" i="6"/>
  <c r="B59" i="6"/>
  <c r="G58" i="6"/>
  <c r="H58" i="6" s="1"/>
  <c r="E58" i="6"/>
  <c r="D58" i="6"/>
  <c r="C58" i="6"/>
  <c r="B58" i="6"/>
  <c r="G57" i="6"/>
  <c r="H57" i="6" s="1"/>
  <c r="E57" i="6"/>
  <c r="D57" i="6"/>
  <c r="C57" i="6"/>
  <c r="B57" i="6"/>
  <c r="G56" i="6"/>
  <c r="H56" i="6" s="1"/>
  <c r="E56" i="6"/>
  <c r="D56" i="6"/>
  <c r="C56" i="6"/>
  <c r="B56" i="6"/>
  <c r="K55" i="6"/>
  <c r="G55" i="6"/>
  <c r="H55" i="6" s="1"/>
  <c r="F55" i="6"/>
  <c r="E55" i="6"/>
  <c r="D55" i="6"/>
  <c r="C55" i="6"/>
  <c r="B55" i="6"/>
  <c r="G54" i="6"/>
  <c r="H54" i="6" s="1"/>
  <c r="E54" i="6"/>
  <c r="D54" i="6"/>
  <c r="C54" i="6"/>
  <c r="B54" i="6"/>
  <c r="G53" i="6"/>
  <c r="H53" i="6" s="1"/>
  <c r="E53" i="6"/>
  <c r="D53" i="6"/>
  <c r="C53" i="6"/>
  <c r="B53" i="6"/>
  <c r="G52" i="6"/>
  <c r="H52" i="6" s="1"/>
  <c r="E52" i="6"/>
  <c r="D52" i="6"/>
  <c r="C52" i="6"/>
  <c r="B52" i="6"/>
  <c r="G51" i="6"/>
  <c r="H51" i="6" s="1"/>
  <c r="E51" i="6"/>
  <c r="D51" i="6"/>
  <c r="C51" i="6"/>
  <c r="B51" i="6"/>
  <c r="G50" i="6"/>
  <c r="H50" i="6" s="1"/>
  <c r="E50" i="6"/>
  <c r="D50" i="6"/>
  <c r="C50" i="6"/>
  <c r="B50" i="6"/>
  <c r="G49" i="6"/>
  <c r="H49" i="6" s="1"/>
  <c r="E49" i="6"/>
  <c r="D49" i="6"/>
  <c r="C49" i="6"/>
  <c r="B49" i="6"/>
  <c r="G48" i="6"/>
  <c r="H48" i="6" s="1"/>
  <c r="E48" i="6"/>
  <c r="D48" i="6"/>
  <c r="C48" i="6"/>
  <c r="B48" i="6"/>
  <c r="G47" i="6"/>
  <c r="H47" i="6" s="1"/>
  <c r="E47" i="6"/>
  <c r="D47" i="6"/>
  <c r="C47" i="6"/>
  <c r="B47" i="6"/>
  <c r="G46" i="6"/>
  <c r="H46" i="6" s="1"/>
  <c r="E46" i="6"/>
  <c r="D46" i="6"/>
  <c r="C46" i="6"/>
  <c r="B46" i="6"/>
  <c r="G45" i="6"/>
  <c r="H45" i="6" s="1"/>
  <c r="E45" i="6"/>
  <c r="D45" i="6"/>
  <c r="C45" i="6"/>
  <c r="B45" i="6"/>
  <c r="G44" i="6"/>
  <c r="H44" i="6" s="1"/>
  <c r="E44" i="6"/>
  <c r="D44" i="6"/>
  <c r="C44" i="6"/>
  <c r="B44" i="6"/>
  <c r="G43" i="6"/>
  <c r="H43" i="6" s="1"/>
  <c r="E43" i="6"/>
  <c r="D43" i="6"/>
  <c r="C43" i="6"/>
  <c r="B43" i="6"/>
  <c r="G42" i="6"/>
  <c r="H42" i="6" s="1"/>
  <c r="E42" i="6"/>
  <c r="D42" i="6"/>
  <c r="C42" i="6"/>
  <c r="B42" i="6"/>
  <c r="G41" i="6"/>
  <c r="H41" i="6" s="1"/>
  <c r="E41" i="6"/>
  <c r="D41" i="6"/>
  <c r="C41" i="6"/>
  <c r="B41" i="6"/>
  <c r="G40" i="6"/>
  <c r="H40" i="6" s="1"/>
  <c r="E40" i="6"/>
  <c r="D40" i="6"/>
  <c r="C40" i="6"/>
  <c r="B40" i="6"/>
  <c r="G39" i="6"/>
  <c r="H39" i="6" s="1"/>
  <c r="E39" i="6"/>
  <c r="D39" i="6"/>
  <c r="C39" i="6"/>
  <c r="B39" i="6"/>
  <c r="G38" i="6"/>
  <c r="H38" i="6" s="1"/>
  <c r="E38" i="6"/>
  <c r="D38" i="6"/>
  <c r="C38" i="6"/>
  <c r="B38" i="6"/>
  <c r="G37" i="6"/>
  <c r="H37" i="6" s="1"/>
  <c r="E37" i="6"/>
  <c r="D37" i="6"/>
  <c r="C37" i="6"/>
  <c r="B37" i="6"/>
  <c r="G36" i="6"/>
  <c r="H36" i="6" s="1"/>
  <c r="E36" i="6"/>
  <c r="D36" i="6"/>
  <c r="C36" i="6"/>
  <c r="B36" i="6"/>
  <c r="G35" i="6"/>
  <c r="H35" i="6" s="1"/>
  <c r="E35" i="6"/>
  <c r="D35" i="6"/>
  <c r="C35" i="6"/>
  <c r="B35" i="6"/>
  <c r="G34" i="6"/>
  <c r="H34" i="6" s="1"/>
  <c r="E34" i="6"/>
  <c r="D34" i="6"/>
  <c r="C34" i="6"/>
  <c r="B34" i="6"/>
  <c r="G33" i="6"/>
  <c r="H33" i="6" s="1"/>
  <c r="E33" i="6"/>
  <c r="D33" i="6"/>
  <c r="C33" i="6"/>
  <c r="B33" i="6"/>
  <c r="G32" i="6"/>
  <c r="H32" i="6" s="1"/>
  <c r="E32" i="6"/>
  <c r="D32" i="6"/>
  <c r="C32" i="6"/>
  <c r="B32" i="6"/>
  <c r="G31" i="6"/>
  <c r="H31" i="6" s="1"/>
  <c r="E31" i="6"/>
  <c r="D31" i="6"/>
  <c r="C31" i="6"/>
  <c r="B31" i="6"/>
  <c r="G30" i="6"/>
  <c r="H30" i="6" s="1"/>
  <c r="E30" i="6"/>
  <c r="D30" i="6"/>
  <c r="C30" i="6"/>
  <c r="B30" i="6"/>
  <c r="G29" i="6"/>
  <c r="H29" i="6" s="1"/>
  <c r="E29" i="6"/>
  <c r="D29" i="6"/>
  <c r="C29" i="6"/>
  <c r="B29" i="6"/>
  <c r="G28" i="6"/>
  <c r="H28" i="6" s="1"/>
  <c r="E28" i="6"/>
  <c r="D28" i="6"/>
  <c r="C28" i="6"/>
  <c r="B28" i="6"/>
  <c r="G27" i="6"/>
  <c r="H27" i="6" s="1"/>
  <c r="E27" i="6"/>
  <c r="D27" i="6"/>
  <c r="C27" i="6"/>
  <c r="B27" i="6"/>
  <c r="G26" i="6"/>
  <c r="H26" i="6" s="1"/>
  <c r="E26" i="6"/>
  <c r="D26" i="6"/>
  <c r="C26" i="6"/>
  <c r="B26" i="6"/>
  <c r="G25" i="6"/>
  <c r="H25" i="6" s="1"/>
  <c r="E25" i="6"/>
  <c r="D25" i="6"/>
  <c r="C25" i="6"/>
  <c r="B25" i="6"/>
  <c r="G24" i="6"/>
  <c r="H24" i="6" s="1"/>
  <c r="E24" i="6"/>
  <c r="D24" i="6"/>
  <c r="C24" i="6"/>
  <c r="B24" i="6"/>
  <c r="G23" i="6"/>
  <c r="H23" i="6" s="1"/>
  <c r="E23" i="6"/>
  <c r="D23" i="6"/>
  <c r="C23" i="6"/>
  <c r="B23" i="6"/>
  <c r="K22" i="6"/>
  <c r="G22" i="6"/>
  <c r="H22" i="6" s="1"/>
  <c r="E22" i="6"/>
  <c r="D22" i="6"/>
  <c r="F22" i="6" s="1"/>
  <c r="C22" i="6"/>
  <c r="B22" i="6"/>
  <c r="G21" i="6"/>
  <c r="H21" i="6" s="1"/>
  <c r="E21" i="6"/>
  <c r="D21" i="6"/>
  <c r="C21" i="6"/>
  <c r="B21" i="6"/>
  <c r="G20" i="6"/>
  <c r="H20" i="6" s="1"/>
  <c r="E20" i="6"/>
  <c r="D20" i="6"/>
  <c r="C20" i="6"/>
  <c r="B20" i="6"/>
  <c r="G19" i="6"/>
  <c r="H19" i="6" s="1"/>
  <c r="E19" i="6"/>
  <c r="D19" i="6"/>
  <c r="C19" i="6"/>
  <c r="B19" i="6"/>
  <c r="G18" i="6"/>
  <c r="H18" i="6" s="1"/>
  <c r="E18" i="6"/>
  <c r="D18" i="6"/>
  <c r="C18" i="6"/>
  <c r="B18" i="6"/>
  <c r="G17" i="6"/>
  <c r="H17" i="6" s="1"/>
  <c r="E17" i="6"/>
  <c r="D17" i="6"/>
  <c r="C17" i="6"/>
  <c r="B17" i="6"/>
  <c r="G16" i="6"/>
  <c r="H16" i="6" s="1"/>
  <c r="E16" i="6"/>
  <c r="D16" i="6"/>
  <c r="C16" i="6"/>
  <c r="B16" i="6"/>
  <c r="G15" i="6"/>
  <c r="H15" i="6" s="1"/>
  <c r="E15" i="6"/>
  <c r="D15" i="6"/>
  <c r="C15" i="6"/>
  <c r="B15" i="6"/>
  <c r="G14" i="6"/>
  <c r="H14" i="6" s="1"/>
  <c r="E14" i="6"/>
  <c r="D14" i="6"/>
  <c r="C14" i="6"/>
  <c r="B14" i="6"/>
  <c r="G13" i="6"/>
  <c r="H13" i="6" s="1"/>
  <c r="E13" i="6"/>
  <c r="D13" i="6"/>
  <c r="C13" i="6"/>
  <c r="B13" i="6"/>
  <c r="A21" i="8" s="1"/>
  <c r="G12" i="6"/>
  <c r="H12" i="6" s="1"/>
  <c r="E12" i="6"/>
  <c r="D12" i="6"/>
  <c r="C12" i="6"/>
  <c r="B12" i="6"/>
  <c r="A20" i="8" s="1"/>
  <c r="G11" i="6"/>
  <c r="H11" i="6" s="1"/>
  <c r="E11" i="6"/>
  <c r="D11" i="6"/>
  <c r="C11" i="6"/>
  <c r="B11" i="6"/>
  <c r="A19" i="8" s="1"/>
  <c r="G10" i="6"/>
  <c r="H10" i="6" s="1"/>
  <c r="E10" i="6"/>
  <c r="D10" i="6"/>
  <c r="C10" i="6"/>
  <c r="B10" i="6"/>
  <c r="A18" i="8" s="1"/>
  <c r="G9" i="6"/>
  <c r="H9" i="6" s="1"/>
  <c r="E9" i="6"/>
  <c r="D9" i="6"/>
  <c r="C9" i="6"/>
  <c r="B9" i="6"/>
  <c r="A17" i="8" s="1"/>
  <c r="G8" i="6"/>
  <c r="H8" i="6" s="1"/>
  <c r="E8" i="6"/>
  <c r="D8" i="6"/>
  <c r="C8" i="6"/>
  <c r="B8" i="6"/>
  <c r="B4" i="6"/>
  <c r="A37" i="4"/>
  <c r="I5" i="4"/>
  <c r="I4" i="4"/>
  <c r="I3" i="4"/>
  <c r="I2" i="4"/>
  <c r="S251" i="3"/>
  <c r="T251" i="3" s="1"/>
  <c r="R251" i="3"/>
  <c r="Q251" i="3"/>
  <c r="P251" i="3"/>
  <c r="O251" i="3"/>
  <c r="N251" i="3"/>
  <c r="M251" i="3"/>
  <c r="L251" i="3"/>
  <c r="S250" i="3"/>
  <c r="T250" i="3" s="1"/>
  <c r="R250" i="3"/>
  <c r="Q250" i="3"/>
  <c r="P250" i="3"/>
  <c r="O250" i="3"/>
  <c r="N250" i="3"/>
  <c r="M250" i="3"/>
  <c r="L250" i="3"/>
  <c r="S249" i="3"/>
  <c r="R249" i="3"/>
  <c r="Q249" i="3"/>
  <c r="P249" i="3"/>
  <c r="O249" i="3"/>
  <c r="N249" i="3"/>
  <c r="M249" i="3"/>
  <c r="L249" i="3"/>
  <c r="S248" i="3"/>
  <c r="T248" i="3" s="1"/>
  <c r="R248" i="3"/>
  <c r="Q248" i="3"/>
  <c r="P248" i="3"/>
  <c r="O248" i="3"/>
  <c r="N248" i="3"/>
  <c r="M248" i="3"/>
  <c r="L248" i="3"/>
  <c r="S247" i="3"/>
  <c r="T247" i="3" s="1"/>
  <c r="R247" i="3"/>
  <c r="Q247" i="3"/>
  <c r="P247" i="3"/>
  <c r="O247" i="3"/>
  <c r="N247" i="3"/>
  <c r="M247" i="3"/>
  <c r="L247" i="3"/>
  <c r="S246" i="3"/>
  <c r="R246" i="3"/>
  <c r="Q246" i="3"/>
  <c r="P246" i="3"/>
  <c r="O246" i="3"/>
  <c r="N246" i="3"/>
  <c r="M246" i="3"/>
  <c r="L246" i="3"/>
  <c r="S245" i="3"/>
  <c r="T245" i="3" s="1"/>
  <c r="R245" i="3"/>
  <c r="Q245" i="3"/>
  <c r="P245" i="3"/>
  <c r="O245" i="3"/>
  <c r="N245" i="3"/>
  <c r="M245" i="3"/>
  <c r="L245" i="3"/>
  <c r="S244" i="3"/>
  <c r="T244" i="3" s="1"/>
  <c r="R244" i="3"/>
  <c r="Q244" i="3"/>
  <c r="P244" i="3"/>
  <c r="O244" i="3"/>
  <c r="N244" i="3"/>
  <c r="M244" i="3"/>
  <c r="L244" i="3"/>
  <c r="S243" i="3"/>
  <c r="T243" i="3" s="1"/>
  <c r="R243" i="3"/>
  <c r="Q243" i="3"/>
  <c r="P243" i="3"/>
  <c r="O243" i="3"/>
  <c r="N243" i="3"/>
  <c r="M243" i="3"/>
  <c r="L243" i="3"/>
  <c r="S242" i="3"/>
  <c r="R242" i="3"/>
  <c r="Q242" i="3"/>
  <c r="P242" i="3"/>
  <c r="O242" i="3"/>
  <c r="N242" i="3"/>
  <c r="M242" i="3"/>
  <c r="L242" i="3"/>
  <c r="S241" i="3"/>
  <c r="T241" i="3" s="1"/>
  <c r="R241" i="3"/>
  <c r="Q241" i="3"/>
  <c r="P241" i="3"/>
  <c r="O241" i="3"/>
  <c r="N241" i="3"/>
  <c r="M241" i="3"/>
  <c r="L241" i="3"/>
  <c r="S240" i="3"/>
  <c r="R240" i="3"/>
  <c r="Q240" i="3"/>
  <c r="P240" i="3"/>
  <c r="O240" i="3"/>
  <c r="N240" i="3"/>
  <c r="M240" i="3"/>
  <c r="L240" i="3"/>
  <c r="S239" i="3"/>
  <c r="T239" i="3" s="1"/>
  <c r="R239" i="3"/>
  <c r="Q239" i="3"/>
  <c r="P239" i="3"/>
  <c r="O239" i="3"/>
  <c r="N239" i="3"/>
  <c r="M239" i="3"/>
  <c r="L239" i="3"/>
  <c r="S238" i="3"/>
  <c r="R238" i="3"/>
  <c r="Q238" i="3"/>
  <c r="P238" i="3"/>
  <c r="O238" i="3"/>
  <c r="N238" i="3"/>
  <c r="M238" i="3"/>
  <c r="L238" i="3"/>
  <c r="S237" i="3"/>
  <c r="T237" i="3" s="1"/>
  <c r="R237" i="3"/>
  <c r="Q237" i="3"/>
  <c r="P237" i="3"/>
  <c r="O237" i="3"/>
  <c r="N237" i="3"/>
  <c r="M237" i="3"/>
  <c r="L237" i="3"/>
  <c r="S236" i="3"/>
  <c r="T236" i="3" s="1"/>
  <c r="R236" i="3"/>
  <c r="Q236" i="3"/>
  <c r="P236" i="3"/>
  <c r="O236" i="3"/>
  <c r="N236" i="3"/>
  <c r="M236" i="3"/>
  <c r="L236" i="3"/>
  <c r="S235" i="3"/>
  <c r="R235" i="3"/>
  <c r="Q235" i="3"/>
  <c r="P235" i="3"/>
  <c r="O235" i="3"/>
  <c r="N235" i="3"/>
  <c r="M235" i="3"/>
  <c r="L235" i="3"/>
  <c r="S234" i="3"/>
  <c r="T234" i="3" s="1"/>
  <c r="R234" i="3"/>
  <c r="Q234" i="3"/>
  <c r="P234" i="3"/>
  <c r="O234" i="3"/>
  <c r="N234" i="3"/>
  <c r="M234" i="3"/>
  <c r="L234" i="3"/>
  <c r="S233" i="3"/>
  <c r="T233" i="3" s="1"/>
  <c r="R233" i="3"/>
  <c r="Q233" i="3"/>
  <c r="P233" i="3"/>
  <c r="O233" i="3"/>
  <c r="N233" i="3"/>
  <c r="M233" i="3"/>
  <c r="L233" i="3"/>
  <c r="S232" i="3"/>
  <c r="T232" i="3" s="1"/>
  <c r="R232" i="3"/>
  <c r="Q232" i="3"/>
  <c r="P232" i="3"/>
  <c r="O232" i="3"/>
  <c r="N232" i="3"/>
  <c r="M232" i="3"/>
  <c r="L232" i="3"/>
  <c r="S231" i="3"/>
  <c r="R231" i="3"/>
  <c r="Q231" i="3"/>
  <c r="P231" i="3"/>
  <c r="O231" i="3"/>
  <c r="N231" i="3"/>
  <c r="M231" i="3"/>
  <c r="L231" i="3"/>
  <c r="S230" i="3"/>
  <c r="T230" i="3" s="1"/>
  <c r="R230" i="3"/>
  <c r="Q230" i="3"/>
  <c r="P230" i="3"/>
  <c r="O230" i="3"/>
  <c r="N230" i="3"/>
  <c r="M230" i="3"/>
  <c r="L230" i="3"/>
  <c r="S229" i="3"/>
  <c r="T229" i="3" s="1"/>
  <c r="R229" i="3"/>
  <c r="Q229" i="3"/>
  <c r="P229" i="3"/>
  <c r="O229" i="3"/>
  <c r="N229" i="3"/>
  <c r="M229" i="3"/>
  <c r="L229" i="3"/>
  <c r="S228" i="3"/>
  <c r="T228" i="3" s="1"/>
  <c r="R228" i="3"/>
  <c r="Q228" i="3"/>
  <c r="P228" i="3"/>
  <c r="O228" i="3"/>
  <c r="N228" i="3"/>
  <c r="M228" i="3"/>
  <c r="L228" i="3"/>
  <c r="S227" i="3"/>
  <c r="T227" i="3" s="1"/>
  <c r="R227" i="3"/>
  <c r="Q227" i="3"/>
  <c r="P227" i="3"/>
  <c r="O227" i="3"/>
  <c r="N227" i="3"/>
  <c r="M227" i="3"/>
  <c r="L227" i="3"/>
  <c r="S226" i="3"/>
  <c r="T226" i="3" s="1"/>
  <c r="R226" i="3"/>
  <c r="Q226" i="3"/>
  <c r="P226" i="3"/>
  <c r="O226" i="3"/>
  <c r="N226" i="3"/>
  <c r="M226" i="3"/>
  <c r="L226" i="3"/>
  <c r="S225" i="3"/>
  <c r="T225" i="3" s="1"/>
  <c r="R225" i="3"/>
  <c r="Q225" i="3"/>
  <c r="P225" i="3"/>
  <c r="O225" i="3"/>
  <c r="N225" i="3"/>
  <c r="M225" i="3"/>
  <c r="L225" i="3"/>
  <c r="S224" i="3"/>
  <c r="T224" i="3" s="1"/>
  <c r="R224" i="3"/>
  <c r="Q224" i="3"/>
  <c r="P224" i="3"/>
  <c r="O224" i="3"/>
  <c r="N224" i="3"/>
  <c r="M224" i="3"/>
  <c r="L224" i="3"/>
  <c r="S223" i="3"/>
  <c r="R223" i="3"/>
  <c r="Q223" i="3"/>
  <c r="P223" i="3"/>
  <c r="O223" i="3"/>
  <c r="N223" i="3"/>
  <c r="M223" i="3"/>
  <c r="L223" i="3"/>
  <c r="S222" i="3"/>
  <c r="T222" i="3" s="1"/>
  <c r="R222" i="3"/>
  <c r="Q222" i="3"/>
  <c r="P222" i="3"/>
  <c r="O222" i="3"/>
  <c r="N222" i="3"/>
  <c r="M222" i="3"/>
  <c r="L222" i="3"/>
  <c r="S221" i="3"/>
  <c r="T221" i="3" s="1"/>
  <c r="R221" i="3"/>
  <c r="Q221" i="3"/>
  <c r="P221" i="3"/>
  <c r="O221" i="3"/>
  <c r="N221" i="3"/>
  <c r="M221" i="3"/>
  <c r="L221" i="3"/>
  <c r="S220" i="3"/>
  <c r="T220" i="3" s="1"/>
  <c r="R220" i="3"/>
  <c r="Q220" i="3"/>
  <c r="P220" i="3"/>
  <c r="O220" i="3"/>
  <c r="N220" i="3"/>
  <c r="M220" i="3"/>
  <c r="L220" i="3"/>
  <c r="S219" i="3"/>
  <c r="T219" i="3" s="1"/>
  <c r="R219" i="3"/>
  <c r="Q219" i="3"/>
  <c r="P219" i="3"/>
  <c r="O219" i="3"/>
  <c r="N219" i="3"/>
  <c r="M219" i="3"/>
  <c r="L219" i="3"/>
  <c r="S218" i="3"/>
  <c r="R218" i="3"/>
  <c r="Q218" i="3"/>
  <c r="P218" i="3"/>
  <c r="O218" i="3"/>
  <c r="N218" i="3"/>
  <c r="M218" i="3"/>
  <c r="L218" i="3"/>
  <c r="S217" i="3"/>
  <c r="T217" i="3" s="1"/>
  <c r="R217" i="3"/>
  <c r="Q217" i="3"/>
  <c r="P217" i="3"/>
  <c r="O217" i="3"/>
  <c r="N217" i="3"/>
  <c r="M217" i="3"/>
  <c r="L217" i="3"/>
  <c r="S216" i="3"/>
  <c r="R216" i="3"/>
  <c r="Q216" i="3"/>
  <c r="P216" i="3"/>
  <c r="O216" i="3"/>
  <c r="N216" i="3"/>
  <c r="M216" i="3"/>
  <c r="L216" i="3"/>
  <c r="S215" i="3"/>
  <c r="T215" i="3" s="1"/>
  <c r="R215" i="3"/>
  <c r="Q215" i="3"/>
  <c r="P215" i="3"/>
  <c r="O215" i="3"/>
  <c r="N215" i="3"/>
  <c r="M215" i="3"/>
  <c r="L215" i="3"/>
  <c r="S214" i="3"/>
  <c r="T214" i="3" s="1"/>
  <c r="R214" i="3"/>
  <c r="Q214" i="3"/>
  <c r="P214" i="3"/>
  <c r="O214" i="3"/>
  <c r="N214" i="3"/>
  <c r="M214" i="3"/>
  <c r="L214" i="3"/>
  <c r="S213" i="3"/>
  <c r="T213" i="3" s="1"/>
  <c r="R213" i="3"/>
  <c r="Q213" i="3"/>
  <c r="P213" i="3"/>
  <c r="O213" i="3"/>
  <c r="N213" i="3"/>
  <c r="M213" i="3"/>
  <c r="L213" i="3"/>
  <c r="S212" i="3"/>
  <c r="R212" i="3"/>
  <c r="Q212" i="3"/>
  <c r="P212" i="3"/>
  <c r="O212" i="3"/>
  <c r="N212" i="3"/>
  <c r="M212" i="3"/>
  <c r="L212" i="3"/>
  <c r="S211" i="3"/>
  <c r="T211" i="3" s="1"/>
  <c r="R211" i="3"/>
  <c r="Q211" i="3"/>
  <c r="P211" i="3"/>
  <c r="O211" i="3"/>
  <c r="N211" i="3"/>
  <c r="M211" i="3"/>
  <c r="L211" i="3"/>
  <c r="S210" i="3"/>
  <c r="T210" i="3" s="1"/>
  <c r="R210" i="3"/>
  <c r="Q210" i="3"/>
  <c r="P210" i="3"/>
  <c r="O210" i="3"/>
  <c r="N210" i="3"/>
  <c r="M210" i="3"/>
  <c r="L210" i="3"/>
  <c r="S209" i="3"/>
  <c r="R209" i="3"/>
  <c r="Q209" i="3"/>
  <c r="P209" i="3"/>
  <c r="O209" i="3"/>
  <c r="N209" i="3"/>
  <c r="M209" i="3"/>
  <c r="L209" i="3"/>
  <c r="S208" i="3"/>
  <c r="T208" i="3" s="1"/>
  <c r="R208" i="3"/>
  <c r="Q208" i="3"/>
  <c r="P208" i="3"/>
  <c r="O208" i="3"/>
  <c r="N208" i="3"/>
  <c r="M208" i="3"/>
  <c r="L208" i="3"/>
  <c r="S207" i="3"/>
  <c r="T207" i="3" s="1"/>
  <c r="R207" i="3"/>
  <c r="Q207" i="3"/>
  <c r="P207" i="3"/>
  <c r="O207" i="3"/>
  <c r="N207" i="3"/>
  <c r="M207" i="3"/>
  <c r="L207" i="3"/>
  <c r="S206" i="3"/>
  <c r="T206" i="3" s="1"/>
  <c r="R206" i="3"/>
  <c r="Q206" i="3"/>
  <c r="P206" i="3"/>
  <c r="O206" i="3"/>
  <c r="N206" i="3"/>
  <c r="M206" i="3"/>
  <c r="L206" i="3"/>
  <c r="S205" i="3"/>
  <c r="R205" i="3"/>
  <c r="Q205" i="3"/>
  <c r="P205" i="3"/>
  <c r="O205" i="3"/>
  <c r="N205" i="3"/>
  <c r="M205" i="3"/>
  <c r="L205" i="3"/>
  <c r="S204" i="3"/>
  <c r="R204" i="3"/>
  <c r="Q204" i="3"/>
  <c r="P204" i="3"/>
  <c r="O204" i="3"/>
  <c r="N204" i="3"/>
  <c r="M204" i="3"/>
  <c r="L204" i="3"/>
  <c r="S203" i="3"/>
  <c r="T203" i="3" s="1"/>
  <c r="R203" i="3"/>
  <c r="Q203" i="3"/>
  <c r="P203" i="3"/>
  <c r="O203" i="3"/>
  <c r="N203" i="3"/>
  <c r="M203" i="3"/>
  <c r="L203" i="3"/>
  <c r="S202" i="3"/>
  <c r="T202" i="3" s="1"/>
  <c r="R202" i="3"/>
  <c r="Q202" i="3"/>
  <c r="P202" i="3"/>
  <c r="O202" i="3"/>
  <c r="N202" i="3"/>
  <c r="M202" i="3"/>
  <c r="L202" i="3"/>
  <c r="S201" i="3"/>
  <c r="T201" i="3" s="1"/>
  <c r="R201" i="3"/>
  <c r="Q201" i="3"/>
  <c r="P201" i="3"/>
  <c r="O201" i="3"/>
  <c r="N201" i="3"/>
  <c r="M201" i="3"/>
  <c r="L201" i="3"/>
  <c r="S200" i="3"/>
  <c r="T200" i="3" s="1"/>
  <c r="R200" i="3"/>
  <c r="Q200" i="3"/>
  <c r="P200" i="3"/>
  <c r="O200" i="3"/>
  <c r="N200" i="3"/>
  <c r="M200" i="3"/>
  <c r="L200" i="3"/>
  <c r="S199" i="3"/>
  <c r="T199" i="3" s="1"/>
  <c r="R199" i="3"/>
  <c r="Q199" i="3"/>
  <c r="P199" i="3"/>
  <c r="O199" i="3"/>
  <c r="N199" i="3"/>
  <c r="M199" i="3"/>
  <c r="L199" i="3"/>
  <c r="S198" i="3"/>
  <c r="T198" i="3" s="1"/>
  <c r="R198" i="3"/>
  <c r="Q198" i="3"/>
  <c r="P198" i="3"/>
  <c r="O198" i="3"/>
  <c r="N198" i="3"/>
  <c r="M198" i="3"/>
  <c r="L198" i="3"/>
  <c r="S197" i="3"/>
  <c r="T197" i="3" s="1"/>
  <c r="R197" i="3"/>
  <c r="Q197" i="3"/>
  <c r="P197" i="3"/>
  <c r="O197" i="3"/>
  <c r="N197" i="3"/>
  <c r="M197" i="3"/>
  <c r="L197" i="3"/>
  <c r="S196" i="3"/>
  <c r="T196" i="3" s="1"/>
  <c r="R196" i="3"/>
  <c r="Q196" i="3"/>
  <c r="P196" i="3"/>
  <c r="O196" i="3"/>
  <c r="N196" i="3"/>
  <c r="M196" i="3"/>
  <c r="L196" i="3"/>
  <c r="S195" i="3"/>
  <c r="T195" i="3" s="1"/>
  <c r="R195" i="3"/>
  <c r="Q195" i="3"/>
  <c r="P195" i="3"/>
  <c r="O195" i="3"/>
  <c r="N195" i="3"/>
  <c r="M195" i="3"/>
  <c r="L195" i="3"/>
  <c r="S194" i="3"/>
  <c r="T194" i="3" s="1"/>
  <c r="R194" i="3"/>
  <c r="Q194" i="3"/>
  <c r="P194" i="3"/>
  <c r="O194" i="3"/>
  <c r="N194" i="3"/>
  <c r="M194" i="3"/>
  <c r="L194" i="3"/>
  <c r="S193" i="3"/>
  <c r="R193" i="3"/>
  <c r="Q193" i="3"/>
  <c r="P193" i="3"/>
  <c r="O193" i="3"/>
  <c r="N193" i="3"/>
  <c r="M193" i="3"/>
  <c r="L193" i="3"/>
  <c r="S192" i="3"/>
  <c r="T192" i="3" s="1"/>
  <c r="R192" i="3"/>
  <c r="Q192" i="3"/>
  <c r="P192" i="3"/>
  <c r="O192" i="3"/>
  <c r="N192" i="3"/>
  <c r="M192" i="3"/>
  <c r="L192" i="3"/>
  <c r="S191" i="3"/>
  <c r="T191" i="3" s="1"/>
  <c r="R191" i="3"/>
  <c r="Q191" i="3"/>
  <c r="P191" i="3"/>
  <c r="O191" i="3"/>
  <c r="N191" i="3"/>
  <c r="M191" i="3"/>
  <c r="L191" i="3"/>
  <c r="S190" i="3"/>
  <c r="T190" i="3" s="1"/>
  <c r="R190" i="3"/>
  <c r="Q190" i="3"/>
  <c r="P190" i="3"/>
  <c r="O190" i="3"/>
  <c r="N190" i="3"/>
  <c r="M190" i="3"/>
  <c r="L190" i="3"/>
  <c r="S189" i="3"/>
  <c r="T189" i="3" s="1"/>
  <c r="R189" i="3"/>
  <c r="Q189" i="3"/>
  <c r="P189" i="3"/>
  <c r="O189" i="3"/>
  <c r="N189" i="3"/>
  <c r="M189" i="3"/>
  <c r="L189" i="3"/>
  <c r="S188" i="3"/>
  <c r="T188" i="3" s="1"/>
  <c r="R188" i="3"/>
  <c r="Q188" i="3"/>
  <c r="P188" i="3"/>
  <c r="O188" i="3"/>
  <c r="N188" i="3"/>
  <c r="M188" i="3"/>
  <c r="L188" i="3"/>
  <c r="S187" i="3"/>
  <c r="T187" i="3" s="1"/>
  <c r="R187" i="3"/>
  <c r="Q187" i="3"/>
  <c r="P187" i="3"/>
  <c r="O187" i="3"/>
  <c r="N187" i="3"/>
  <c r="M187" i="3"/>
  <c r="L187" i="3"/>
  <c r="S186" i="3"/>
  <c r="T186" i="3" s="1"/>
  <c r="R186" i="3"/>
  <c r="Q186" i="3"/>
  <c r="P186" i="3"/>
  <c r="O186" i="3"/>
  <c r="N186" i="3"/>
  <c r="M186" i="3"/>
  <c r="L186" i="3"/>
  <c r="S185" i="3"/>
  <c r="T185" i="3" s="1"/>
  <c r="R185" i="3"/>
  <c r="Q185" i="3"/>
  <c r="P185" i="3"/>
  <c r="O185" i="3"/>
  <c r="N185" i="3"/>
  <c r="M185" i="3"/>
  <c r="L185" i="3"/>
  <c r="S184" i="3"/>
  <c r="T184" i="3" s="1"/>
  <c r="R184" i="3"/>
  <c r="Q184" i="3"/>
  <c r="P184" i="3"/>
  <c r="O184" i="3"/>
  <c r="N184" i="3"/>
  <c r="M184" i="3"/>
  <c r="L184" i="3"/>
  <c r="S183" i="3"/>
  <c r="T183" i="3" s="1"/>
  <c r="R183" i="3"/>
  <c r="Q183" i="3"/>
  <c r="P183" i="3"/>
  <c r="O183" i="3"/>
  <c r="N183" i="3"/>
  <c r="M183" i="3"/>
  <c r="L183" i="3"/>
  <c r="S182" i="3"/>
  <c r="T182" i="3" s="1"/>
  <c r="R182" i="3"/>
  <c r="Q182" i="3"/>
  <c r="P182" i="3"/>
  <c r="O182" i="3"/>
  <c r="N182" i="3"/>
  <c r="M182" i="3"/>
  <c r="L182" i="3"/>
  <c r="S181" i="3"/>
  <c r="T181" i="3" s="1"/>
  <c r="R181" i="3"/>
  <c r="Q181" i="3"/>
  <c r="P181" i="3"/>
  <c r="O181" i="3"/>
  <c r="N181" i="3"/>
  <c r="M181" i="3"/>
  <c r="L181" i="3"/>
  <c r="S180" i="3"/>
  <c r="R180" i="3"/>
  <c r="Q180" i="3"/>
  <c r="P180" i="3"/>
  <c r="O180" i="3"/>
  <c r="N180" i="3"/>
  <c r="M180" i="3"/>
  <c r="L180" i="3"/>
  <c r="S179" i="3"/>
  <c r="T179" i="3" s="1"/>
  <c r="R179" i="3"/>
  <c r="Q179" i="3"/>
  <c r="P179" i="3"/>
  <c r="O179" i="3"/>
  <c r="N179" i="3"/>
  <c r="M179" i="3"/>
  <c r="L179" i="3"/>
  <c r="S178" i="3"/>
  <c r="T178" i="3" s="1"/>
  <c r="R178" i="3"/>
  <c r="Q178" i="3"/>
  <c r="P178" i="3"/>
  <c r="O178" i="3"/>
  <c r="N178" i="3"/>
  <c r="M178" i="3"/>
  <c r="L178" i="3"/>
  <c r="S177" i="3"/>
  <c r="T177" i="3" s="1"/>
  <c r="R177" i="3"/>
  <c r="Q177" i="3"/>
  <c r="P177" i="3"/>
  <c r="O177" i="3"/>
  <c r="N177" i="3"/>
  <c r="M177" i="3"/>
  <c r="L177" i="3"/>
  <c r="S176" i="3"/>
  <c r="T176" i="3" s="1"/>
  <c r="R176" i="3"/>
  <c r="Q176" i="3"/>
  <c r="P176" i="3"/>
  <c r="O176" i="3"/>
  <c r="N176" i="3"/>
  <c r="M176" i="3"/>
  <c r="L176" i="3"/>
  <c r="S175" i="3"/>
  <c r="T175" i="3" s="1"/>
  <c r="R175" i="3"/>
  <c r="Q175" i="3"/>
  <c r="P175" i="3"/>
  <c r="O175" i="3"/>
  <c r="N175" i="3"/>
  <c r="M175" i="3"/>
  <c r="L175" i="3"/>
  <c r="S174" i="3"/>
  <c r="R174" i="3"/>
  <c r="Q174" i="3"/>
  <c r="P174" i="3"/>
  <c r="O174" i="3"/>
  <c r="N174" i="3"/>
  <c r="M174" i="3"/>
  <c r="L174" i="3"/>
  <c r="S173" i="3"/>
  <c r="T173" i="3" s="1"/>
  <c r="R173" i="3"/>
  <c r="Q173" i="3"/>
  <c r="P173" i="3"/>
  <c r="O173" i="3"/>
  <c r="N173" i="3"/>
  <c r="M173" i="3"/>
  <c r="L173" i="3"/>
  <c r="S172" i="3"/>
  <c r="T172" i="3" s="1"/>
  <c r="R172" i="3"/>
  <c r="Q172" i="3"/>
  <c r="P172" i="3"/>
  <c r="O172" i="3"/>
  <c r="N172" i="3"/>
  <c r="M172" i="3"/>
  <c r="L172" i="3"/>
  <c r="S171" i="3"/>
  <c r="T171" i="3" s="1"/>
  <c r="R171" i="3"/>
  <c r="Q171" i="3"/>
  <c r="P171" i="3"/>
  <c r="O171" i="3"/>
  <c r="N171" i="3"/>
  <c r="M171" i="3"/>
  <c r="L171" i="3"/>
  <c r="S170" i="3"/>
  <c r="R170" i="3"/>
  <c r="Q170" i="3"/>
  <c r="P170" i="3"/>
  <c r="O170" i="3"/>
  <c r="N170" i="3"/>
  <c r="M170" i="3"/>
  <c r="L170" i="3"/>
  <c r="S169" i="3"/>
  <c r="T169" i="3" s="1"/>
  <c r="R169" i="3"/>
  <c r="Q169" i="3"/>
  <c r="P169" i="3"/>
  <c r="O169" i="3"/>
  <c r="N169" i="3"/>
  <c r="M169" i="3"/>
  <c r="L169" i="3"/>
  <c r="S168" i="3"/>
  <c r="R168" i="3"/>
  <c r="Q168" i="3"/>
  <c r="P168" i="3"/>
  <c r="O168" i="3"/>
  <c r="N168" i="3"/>
  <c r="M168" i="3"/>
  <c r="L168" i="3"/>
  <c r="S167" i="3"/>
  <c r="R167" i="3"/>
  <c r="Q167" i="3"/>
  <c r="P167" i="3"/>
  <c r="O167" i="3"/>
  <c r="N167" i="3"/>
  <c r="M167" i="3"/>
  <c r="L167" i="3"/>
  <c r="S166" i="3"/>
  <c r="T166" i="3" s="1"/>
  <c r="R166" i="3"/>
  <c r="Q166" i="3"/>
  <c r="P166" i="3"/>
  <c r="O166" i="3"/>
  <c r="N166" i="3"/>
  <c r="M166" i="3"/>
  <c r="L166" i="3"/>
  <c r="S165" i="3"/>
  <c r="R165" i="3"/>
  <c r="Q165" i="3"/>
  <c r="P165" i="3"/>
  <c r="O165" i="3"/>
  <c r="N165" i="3"/>
  <c r="M165" i="3"/>
  <c r="L165" i="3"/>
  <c r="S164" i="3"/>
  <c r="T164" i="3" s="1"/>
  <c r="R164" i="3"/>
  <c r="Q164" i="3"/>
  <c r="P164" i="3"/>
  <c r="O164" i="3"/>
  <c r="N164" i="3"/>
  <c r="M164" i="3"/>
  <c r="L164" i="3"/>
  <c r="S163" i="3"/>
  <c r="T163" i="3" s="1"/>
  <c r="R163" i="3"/>
  <c r="Q163" i="3"/>
  <c r="P163" i="3"/>
  <c r="O163" i="3"/>
  <c r="N163" i="3"/>
  <c r="M163" i="3"/>
  <c r="L163" i="3"/>
  <c r="S162" i="3"/>
  <c r="T162" i="3" s="1"/>
  <c r="R162" i="3"/>
  <c r="Q162" i="3"/>
  <c r="P162" i="3"/>
  <c r="O162" i="3"/>
  <c r="N162" i="3"/>
  <c r="M162" i="3"/>
  <c r="L162" i="3"/>
  <c r="S161" i="3"/>
  <c r="T161" i="3" s="1"/>
  <c r="R161" i="3"/>
  <c r="Q161" i="3"/>
  <c r="P161" i="3"/>
  <c r="O161" i="3"/>
  <c r="N161" i="3"/>
  <c r="M161" i="3"/>
  <c r="L161" i="3"/>
  <c r="S160" i="3"/>
  <c r="T160" i="3" s="1"/>
  <c r="R160" i="3"/>
  <c r="Q160" i="3"/>
  <c r="P160" i="3"/>
  <c r="O160" i="3"/>
  <c r="N160" i="3"/>
  <c r="M160" i="3"/>
  <c r="L160" i="3"/>
  <c r="S159" i="3"/>
  <c r="R159" i="3"/>
  <c r="Q159" i="3"/>
  <c r="P159" i="3"/>
  <c r="O159" i="3"/>
  <c r="N159" i="3"/>
  <c r="M159" i="3"/>
  <c r="L159" i="3"/>
  <c r="S158" i="3"/>
  <c r="T158" i="3" s="1"/>
  <c r="R158" i="3"/>
  <c r="Q158" i="3"/>
  <c r="P158" i="3"/>
  <c r="O158" i="3"/>
  <c r="N158" i="3"/>
  <c r="M158" i="3"/>
  <c r="L158" i="3"/>
  <c r="S157" i="3"/>
  <c r="T157" i="3" s="1"/>
  <c r="R157" i="3"/>
  <c r="Q157" i="3"/>
  <c r="P157" i="3"/>
  <c r="O157" i="3"/>
  <c r="N157" i="3"/>
  <c r="M157" i="3"/>
  <c r="L157" i="3"/>
  <c r="S156" i="3"/>
  <c r="T156" i="3" s="1"/>
  <c r="R156" i="3"/>
  <c r="Q156" i="3"/>
  <c r="P156" i="3"/>
  <c r="O156" i="3"/>
  <c r="N156" i="3"/>
  <c r="M156" i="3"/>
  <c r="L156" i="3"/>
  <c r="S155" i="3"/>
  <c r="T155" i="3" s="1"/>
  <c r="R155" i="3"/>
  <c r="Q155" i="3"/>
  <c r="P155" i="3"/>
  <c r="O155" i="3"/>
  <c r="N155" i="3"/>
  <c r="M155" i="3"/>
  <c r="L155" i="3"/>
  <c r="S154" i="3"/>
  <c r="R154" i="3"/>
  <c r="Q154" i="3"/>
  <c r="P154" i="3"/>
  <c r="O154" i="3"/>
  <c r="N154" i="3"/>
  <c r="M154" i="3"/>
  <c r="L154" i="3"/>
  <c r="S153" i="3"/>
  <c r="T153" i="3" s="1"/>
  <c r="R153" i="3"/>
  <c r="Q153" i="3"/>
  <c r="P153" i="3"/>
  <c r="O153" i="3"/>
  <c r="N153" i="3"/>
  <c r="M153" i="3"/>
  <c r="L153" i="3"/>
  <c r="S152" i="3"/>
  <c r="R152" i="3"/>
  <c r="Q152" i="3"/>
  <c r="P152" i="3"/>
  <c r="O152" i="3"/>
  <c r="N152" i="3"/>
  <c r="M152" i="3"/>
  <c r="L152" i="3"/>
  <c r="S151" i="3"/>
  <c r="T151" i="3" s="1"/>
  <c r="R151" i="3"/>
  <c r="Q151" i="3"/>
  <c r="P151" i="3"/>
  <c r="O151" i="3"/>
  <c r="N151" i="3"/>
  <c r="M151" i="3"/>
  <c r="L151" i="3"/>
  <c r="S150" i="3"/>
  <c r="R150" i="3"/>
  <c r="Q150" i="3"/>
  <c r="P150" i="3"/>
  <c r="O150" i="3"/>
  <c r="N150" i="3"/>
  <c r="M150" i="3"/>
  <c r="L150" i="3"/>
  <c r="S149" i="3"/>
  <c r="T149" i="3" s="1"/>
  <c r="R149" i="3"/>
  <c r="Q149" i="3"/>
  <c r="P149" i="3"/>
  <c r="O149" i="3"/>
  <c r="N149" i="3"/>
  <c r="M149" i="3"/>
  <c r="L149" i="3"/>
  <c r="S148" i="3"/>
  <c r="T148" i="3" s="1"/>
  <c r="R148" i="3"/>
  <c r="Q148" i="3"/>
  <c r="P148" i="3"/>
  <c r="O148" i="3"/>
  <c r="N148" i="3"/>
  <c r="M148" i="3"/>
  <c r="L148" i="3"/>
  <c r="S147" i="3"/>
  <c r="T147" i="3" s="1"/>
  <c r="R147" i="3"/>
  <c r="Q147" i="3"/>
  <c r="P147" i="3"/>
  <c r="O147" i="3"/>
  <c r="N147" i="3"/>
  <c r="M147" i="3"/>
  <c r="L147" i="3"/>
  <c r="S146" i="3"/>
  <c r="T146" i="3" s="1"/>
  <c r="R146" i="3"/>
  <c r="Q146" i="3"/>
  <c r="P146" i="3"/>
  <c r="O146" i="3"/>
  <c r="N146" i="3"/>
  <c r="M146" i="3"/>
  <c r="L146" i="3"/>
  <c r="S145" i="3"/>
  <c r="T145" i="3" s="1"/>
  <c r="R145" i="3"/>
  <c r="Q145" i="3"/>
  <c r="P145" i="3"/>
  <c r="O145" i="3"/>
  <c r="N145" i="3"/>
  <c r="M145" i="3"/>
  <c r="L145" i="3"/>
  <c r="S144" i="3"/>
  <c r="T144" i="3" s="1"/>
  <c r="R144" i="3"/>
  <c r="Q144" i="3"/>
  <c r="P144" i="3"/>
  <c r="O144" i="3"/>
  <c r="N144" i="3"/>
  <c r="M144" i="3"/>
  <c r="L144" i="3"/>
  <c r="S143" i="3"/>
  <c r="T143" i="3" s="1"/>
  <c r="R143" i="3"/>
  <c r="Q143" i="3"/>
  <c r="P143" i="3"/>
  <c r="O143" i="3"/>
  <c r="N143" i="3"/>
  <c r="M143" i="3"/>
  <c r="L143" i="3"/>
  <c r="S142" i="3"/>
  <c r="T142" i="3" s="1"/>
  <c r="R142" i="3"/>
  <c r="Q142" i="3"/>
  <c r="P142" i="3"/>
  <c r="O142" i="3"/>
  <c r="N142" i="3"/>
  <c r="M142" i="3"/>
  <c r="L142" i="3"/>
  <c r="S141" i="3"/>
  <c r="T141" i="3" s="1"/>
  <c r="R141" i="3"/>
  <c r="Q141" i="3"/>
  <c r="P141" i="3"/>
  <c r="O141" i="3"/>
  <c r="N141" i="3"/>
  <c r="M141" i="3"/>
  <c r="L141" i="3"/>
  <c r="S140" i="3"/>
  <c r="T140" i="3" s="1"/>
  <c r="R140" i="3"/>
  <c r="Q140" i="3"/>
  <c r="P140" i="3"/>
  <c r="O140" i="3"/>
  <c r="N140" i="3"/>
  <c r="M140" i="3"/>
  <c r="L140" i="3"/>
  <c r="S139" i="3"/>
  <c r="T139" i="3" s="1"/>
  <c r="R139" i="3"/>
  <c r="Q139" i="3"/>
  <c r="P139" i="3"/>
  <c r="O139" i="3"/>
  <c r="N139" i="3"/>
  <c r="M139" i="3"/>
  <c r="L139" i="3"/>
  <c r="S138" i="3"/>
  <c r="T138" i="3" s="1"/>
  <c r="R138" i="3"/>
  <c r="Q138" i="3"/>
  <c r="P138" i="3"/>
  <c r="O138" i="3"/>
  <c r="N138" i="3"/>
  <c r="M138" i="3"/>
  <c r="L138" i="3"/>
  <c r="S137" i="3"/>
  <c r="T137" i="3" s="1"/>
  <c r="R137" i="3"/>
  <c r="Q137" i="3"/>
  <c r="P137" i="3"/>
  <c r="O137" i="3"/>
  <c r="N137" i="3"/>
  <c r="M137" i="3"/>
  <c r="L137" i="3"/>
  <c r="S136" i="3"/>
  <c r="R136" i="3"/>
  <c r="Q136" i="3"/>
  <c r="P136" i="3"/>
  <c r="O136" i="3"/>
  <c r="N136" i="3"/>
  <c r="M136" i="3"/>
  <c r="L136" i="3"/>
  <c r="S135" i="3"/>
  <c r="T135" i="3" s="1"/>
  <c r="R135" i="3"/>
  <c r="Q135" i="3"/>
  <c r="P135" i="3"/>
  <c r="O135" i="3"/>
  <c r="N135" i="3"/>
  <c r="M135" i="3"/>
  <c r="L135" i="3"/>
  <c r="S134" i="3"/>
  <c r="T134" i="3" s="1"/>
  <c r="R134" i="3"/>
  <c r="Q134" i="3"/>
  <c r="P134" i="3"/>
  <c r="O134" i="3"/>
  <c r="N134" i="3"/>
  <c r="M134" i="3"/>
  <c r="L134" i="3"/>
  <c r="S133" i="3"/>
  <c r="R133" i="3"/>
  <c r="Q133" i="3"/>
  <c r="P133" i="3"/>
  <c r="B22" i="7" s="1"/>
  <c r="O133" i="3"/>
  <c r="N133" i="3"/>
  <c r="M133" i="3"/>
  <c r="L133" i="3"/>
  <c r="S132" i="3"/>
  <c r="T132" i="3" s="1"/>
  <c r="R132" i="3"/>
  <c r="Q132" i="3"/>
  <c r="P132" i="3"/>
  <c r="O132" i="3"/>
  <c r="N132" i="3"/>
  <c r="M132" i="3"/>
  <c r="L132" i="3"/>
  <c r="S131" i="3"/>
  <c r="T131" i="3" s="1"/>
  <c r="R131" i="3"/>
  <c r="Q131" i="3"/>
  <c r="P131" i="3"/>
  <c r="O131" i="3"/>
  <c r="N131" i="3"/>
  <c r="M131" i="3"/>
  <c r="L131" i="3"/>
  <c r="S130" i="3"/>
  <c r="R130" i="3"/>
  <c r="Q130" i="3"/>
  <c r="P130" i="3"/>
  <c r="O130" i="3"/>
  <c r="N130" i="3"/>
  <c r="M130" i="3"/>
  <c r="L130" i="3"/>
  <c r="S129" i="3"/>
  <c r="R129" i="3"/>
  <c r="Q129" i="3"/>
  <c r="P129" i="3"/>
  <c r="O129" i="3"/>
  <c r="N129" i="3"/>
  <c r="M129" i="3"/>
  <c r="L129" i="3"/>
  <c r="S128" i="3"/>
  <c r="T128" i="3" s="1"/>
  <c r="R128" i="3"/>
  <c r="Q128" i="3"/>
  <c r="P128" i="3"/>
  <c r="O128" i="3"/>
  <c r="N128" i="3"/>
  <c r="M128" i="3"/>
  <c r="L128" i="3"/>
  <c r="S127" i="3"/>
  <c r="T127" i="3" s="1"/>
  <c r="R127" i="3"/>
  <c r="Q127" i="3"/>
  <c r="P127" i="3"/>
  <c r="O127" i="3"/>
  <c r="N127" i="3"/>
  <c r="M127" i="3"/>
  <c r="L127" i="3"/>
  <c r="S126" i="3"/>
  <c r="T126" i="3" s="1"/>
  <c r="R126" i="3"/>
  <c r="Q126" i="3"/>
  <c r="P126" i="3"/>
  <c r="O126" i="3"/>
  <c r="N126" i="3"/>
  <c r="M126" i="3"/>
  <c r="L126" i="3"/>
  <c r="S125" i="3"/>
  <c r="T125" i="3" s="1"/>
  <c r="R125" i="3"/>
  <c r="Q125" i="3"/>
  <c r="P125" i="3"/>
  <c r="O125" i="3"/>
  <c r="N125" i="3"/>
  <c r="M125" i="3"/>
  <c r="L125" i="3"/>
  <c r="S124" i="3"/>
  <c r="T124" i="3" s="1"/>
  <c r="R124" i="3"/>
  <c r="Q124" i="3"/>
  <c r="P124" i="3"/>
  <c r="O124" i="3"/>
  <c r="N124" i="3"/>
  <c r="M124" i="3"/>
  <c r="L124" i="3"/>
  <c r="S123" i="3"/>
  <c r="T123" i="3" s="1"/>
  <c r="R123" i="3"/>
  <c r="Q123" i="3"/>
  <c r="P123" i="3"/>
  <c r="O123" i="3"/>
  <c r="N123" i="3"/>
  <c r="M123" i="3"/>
  <c r="L123" i="3"/>
  <c r="S122" i="3"/>
  <c r="T122" i="3" s="1"/>
  <c r="R122" i="3"/>
  <c r="Q122" i="3"/>
  <c r="P122" i="3"/>
  <c r="O122" i="3"/>
  <c r="N122" i="3"/>
  <c r="M122" i="3"/>
  <c r="L122" i="3"/>
  <c r="S121" i="3"/>
  <c r="R121" i="3"/>
  <c r="Q121" i="3"/>
  <c r="P121" i="3"/>
  <c r="O121" i="3"/>
  <c r="N121" i="3"/>
  <c r="M121" i="3"/>
  <c r="L121" i="3"/>
  <c r="S120" i="3"/>
  <c r="T120" i="3" s="1"/>
  <c r="R120" i="3"/>
  <c r="Q120" i="3"/>
  <c r="P120" i="3"/>
  <c r="O120" i="3"/>
  <c r="N120" i="3"/>
  <c r="M120" i="3"/>
  <c r="L120" i="3"/>
  <c r="S119" i="3"/>
  <c r="R119" i="3"/>
  <c r="Q119" i="3"/>
  <c r="P119" i="3"/>
  <c r="O119" i="3"/>
  <c r="N119" i="3"/>
  <c r="M119" i="3"/>
  <c r="L119" i="3"/>
  <c r="S118" i="3"/>
  <c r="T118" i="3" s="1"/>
  <c r="R118" i="3"/>
  <c r="Q118" i="3"/>
  <c r="P118" i="3"/>
  <c r="O118" i="3"/>
  <c r="N118" i="3"/>
  <c r="M118" i="3"/>
  <c r="L118" i="3"/>
  <c r="S117" i="3"/>
  <c r="T117" i="3" s="1"/>
  <c r="R117" i="3"/>
  <c r="Q117" i="3"/>
  <c r="P117" i="3"/>
  <c r="O117" i="3"/>
  <c r="N117" i="3"/>
  <c r="M117" i="3"/>
  <c r="L117" i="3"/>
  <c r="S116" i="3"/>
  <c r="T116" i="3" s="1"/>
  <c r="R116" i="3"/>
  <c r="Q116" i="3"/>
  <c r="P116" i="3"/>
  <c r="O116" i="3"/>
  <c r="N116" i="3"/>
  <c r="M116" i="3"/>
  <c r="L116" i="3"/>
  <c r="S115" i="3"/>
  <c r="T115" i="3" s="1"/>
  <c r="R115" i="3"/>
  <c r="Q115" i="3"/>
  <c r="P115" i="3"/>
  <c r="O115" i="3"/>
  <c r="N115" i="3"/>
  <c r="M115" i="3"/>
  <c r="L115" i="3"/>
  <c r="S114" i="3"/>
  <c r="T114" i="3" s="1"/>
  <c r="R114" i="3"/>
  <c r="Q114" i="3"/>
  <c r="P114" i="3"/>
  <c r="O114" i="3"/>
  <c r="N114" i="3"/>
  <c r="M114" i="3"/>
  <c r="L114" i="3"/>
  <c r="S113" i="3"/>
  <c r="T113" i="3" s="1"/>
  <c r="R113" i="3"/>
  <c r="Q113" i="3"/>
  <c r="P113" i="3"/>
  <c r="O113" i="3"/>
  <c r="N113" i="3"/>
  <c r="M113" i="3"/>
  <c r="L113" i="3"/>
  <c r="S112" i="3"/>
  <c r="T112" i="3" s="1"/>
  <c r="R112" i="3"/>
  <c r="Q112" i="3"/>
  <c r="P112" i="3"/>
  <c r="O112" i="3"/>
  <c r="N112" i="3"/>
  <c r="M112" i="3"/>
  <c r="L112" i="3"/>
  <c r="S111" i="3"/>
  <c r="T111" i="3" s="1"/>
  <c r="R111" i="3"/>
  <c r="Q111" i="3"/>
  <c r="P111" i="3"/>
  <c r="O111" i="3"/>
  <c r="N111" i="3"/>
  <c r="M111" i="3"/>
  <c r="L111" i="3"/>
  <c r="S110" i="3"/>
  <c r="T110" i="3" s="1"/>
  <c r="R110" i="3"/>
  <c r="Q110" i="3"/>
  <c r="P110" i="3"/>
  <c r="O110" i="3"/>
  <c r="N110" i="3"/>
  <c r="M110" i="3"/>
  <c r="L110" i="3"/>
  <c r="S109" i="3"/>
  <c r="T109" i="3" s="1"/>
  <c r="R109" i="3"/>
  <c r="Q109" i="3"/>
  <c r="P109" i="3"/>
  <c r="O109" i="3"/>
  <c r="N109" i="3"/>
  <c r="M109" i="3"/>
  <c r="L109" i="3"/>
  <c r="S108" i="3"/>
  <c r="T108" i="3" s="1"/>
  <c r="R108" i="3"/>
  <c r="Q108" i="3"/>
  <c r="P108" i="3"/>
  <c r="O108" i="3"/>
  <c r="N108" i="3"/>
  <c r="M108" i="3"/>
  <c r="L108" i="3"/>
  <c r="S107" i="3"/>
  <c r="T107" i="3" s="1"/>
  <c r="R107" i="3"/>
  <c r="Q107" i="3"/>
  <c r="P107" i="3"/>
  <c r="O107" i="3"/>
  <c r="N107" i="3"/>
  <c r="M107" i="3"/>
  <c r="L107" i="3"/>
  <c r="S106" i="3"/>
  <c r="T106" i="3" s="1"/>
  <c r="R106" i="3"/>
  <c r="Q106" i="3"/>
  <c r="P106" i="3"/>
  <c r="O106" i="3"/>
  <c r="N106" i="3"/>
  <c r="M106" i="3"/>
  <c r="L106" i="3"/>
  <c r="S105" i="3"/>
  <c r="T105" i="3" s="1"/>
  <c r="R105" i="3"/>
  <c r="Q105" i="3"/>
  <c r="P105" i="3"/>
  <c r="O105" i="3"/>
  <c r="N105" i="3"/>
  <c r="M105" i="3"/>
  <c r="L105" i="3"/>
  <c r="S104" i="3"/>
  <c r="T104" i="3" s="1"/>
  <c r="R104" i="3"/>
  <c r="Q104" i="3"/>
  <c r="P104" i="3"/>
  <c r="O104" i="3"/>
  <c r="N104" i="3"/>
  <c r="M104" i="3"/>
  <c r="L104" i="3"/>
  <c r="S103" i="3"/>
  <c r="T103" i="3" s="1"/>
  <c r="R103" i="3"/>
  <c r="Q103" i="3"/>
  <c r="P103" i="3"/>
  <c r="O103" i="3"/>
  <c r="N103" i="3"/>
  <c r="M103" i="3"/>
  <c r="L103" i="3"/>
  <c r="S102" i="3"/>
  <c r="T102" i="3" s="1"/>
  <c r="R102" i="3"/>
  <c r="Q102" i="3"/>
  <c r="P102" i="3"/>
  <c r="O102" i="3"/>
  <c r="N102" i="3"/>
  <c r="M102" i="3"/>
  <c r="L102" i="3"/>
  <c r="S101" i="3"/>
  <c r="T101" i="3" s="1"/>
  <c r="R101" i="3"/>
  <c r="Q101" i="3"/>
  <c r="P101" i="3"/>
  <c r="O101" i="3"/>
  <c r="N101" i="3"/>
  <c r="M101" i="3"/>
  <c r="L101" i="3"/>
  <c r="S100" i="3"/>
  <c r="R100" i="3"/>
  <c r="Q100" i="3"/>
  <c r="P100" i="3"/>
  <c r="O100" i="3"/>
  <c r="N100" i="3"/>
  <c r="M100" i="3"/>
  <c r="L100" i="3"/>
  <c r="S99" i="3"/>
  <c r="T99" i="3" s="1"/>
  <c r="R99" i="3"/>
  <c r="Q99" i="3"/>
  <c r="P99" i="3"/>
  <c r="O99" i="3"/>
  <c r="N99" i="3"/>
  <c r="M99" i="3"/>
  <c r="L99" i="3"/>
  <c r="S98" i="3"/>
  <c r="T98" i="3" s="1"/>
  <c r="R98" i="3"/>
  <c r="Q98" i="3"/>
  <c r="P98" i="3"/>
  <c r="O98" i="3"/>
  <c r="N98" i="3"/>
  <c r="M98" i="3"/>
  <c r="L98" i="3"/>
  <c r="S97" i="3"/>
  <c r="T97" i="3" s="1"/>
  <c r="R97" i="3"/>
  <c r="Q97" i="3"/>
  <c r="P97" i="3"/>
  <c r="O97" i="3"/>
  <c r="N97" i="3"/>
  <c r="M97" i="3"/>
  <c r="L97" i="3"/>
  <c r="S96" i="3"/>
  <c r="T96" i="3" s="1"/>
  <c r="R96" i="3"/>
  <c r="Q96" i="3"/>
  <c r="P96" i="3"/>
  <c r="O96" i="3"/>
  <c r="N96" i="3"/>
  <c r="M96" i="3"/>
  <c r="L96" i="3"/>
  <c r="S95" i="3"/>
  <c r="T95" i="3" s="1"/>
  <c r="R95" i="3"/>
  <c r="Q95" i="3"/>
  <c r="P95" i="3"/>
  <c r="O95" i="3"/>
  <c r="N95" i="3"/>
  <c r="M95" i="3"/>
  <c r="L95" i="3"/>
  <c r="S94" i="3"/>
  <c r="T94" i="3" s="1"/>
  <c r="R94" i="3"/>
  <c r="Q94" i="3"/>
  <c r="P94" i="3"/>
  <c r="O94" i="3"/>
  <c r="N94" i="3"/>
  <c r="M94" i="3"/>
  <c r="L94" i="3"/>
  <c r="S93" i="3"/>
  <c r="R93" i="3"/>
  <c r="Q93" i="3"/>
  <c r="P93" i="3"/>
  <c r="O93" i="3"/>
  <c r="N93" i="3"/>
  <c r="M93" i="3"/>
  <c r="L93" i="3"/>
  <c r="S92" i="3"/>
  <c r="R92" i="3"/>
  <c r="Q92" i="3"/>
  <c r="P92" i="3"/>
  <c r="O92" i="3"/>
  <c r="N92" i="3"/>
  <c r="M92" i="3"/>
  <c r="L92" i="3"/>
  <c r="S91" i="3"/>
  <c r="T91" i="3" s="1"/>
  <c r="R91" i="3"/>
  <c r="Q91" i="3"/>
  <c r="P91" i="3"/>
  <c r="O91" i="3"/>
  <c r="N91" i="3"/>
  <c r="M91" i="3"/>
  <c r="L91" i="3"/>
  <c r="S90" i="3"/>
  <c r="R90" i="3"/>
  <c r="Q90" i="3"/>
  <c r="P90" i="3"/>
  <c r="O90" i="3"/>
  <c r="N90" i="3"/>
  <c r="M90" i="3"/>
  <c r="L90" i="3"/>
  <c r="S89" i="3"/>
  <c r="T89" i="3" s="1"/>
  <c r="R89" i="3"/>
  <c r="Q89" i="3"/>
  <c r="P89" i="3"/>
  <c r="O89" i="3"/>
  <c r="N89" i="3"/>
  <c r="M89" i="3"/>
  <c r="L89" i="3"/>
  <c r="S88" i="3"/>
  <c r="T88" i="3" s="1"/>
  <c r="R88" i="3"/>
  <c r="Q88" i="3"/>
  <c r="P88" i="3"/>
  <c r="O88" i="3"/>
  <c r="N88" i="3"/>
  <c r="M88" i="3"/>
  <c r="L88" i="3"/>
  <c r="S87" i="3"/>
  <c r="T87" i="3" s="1"/>
  <c r="R87" i="3"/>
  <c r="Q87" i="3"/>
  <c r="P87" i="3"/>
  <c r="O87" i="3"/>
  <c r="N87" i="3"/>
  <c r="M87" i="3"/>
  <c r="L87" i="3"/>
  <c r="S86" i="3"/>
  <c r="T86" i="3" s="1"/>
  <c r="R86" i="3"/>
  <c r="Q86" i="3"/>
  <c r="P86" i="3"/>
  <c r="O86" i="3"/>
  <c r="N86" i="3"/>
  <c r="M86" i="3"/>
  <c r="L86" i="3"/>
  <c r="S85" i="3"/>
  <c r="R85" i="3"/>
  <c r="Q85" i="3"/>
  <c r="P85" i="3"/>
  <c r="O85" i="3"/>
  <c r="N85" i="3"/>
  <c r="M85" i="3"/>
  <c r="L85" i="3"/>
  <c r="S84" i="3"/>
  <c r="T84" i="3" s="1"/>
  <c r="R84" i="3"/>
  <c r="Q84" i="3"/>
  <c r="P84" i="3"/>
  <c r="O84" i="3"/>
  <c r="N84" i="3"/>
  <c r="M84" i="3"/>
  <c r="L84" i="3"/>
  <c r="S83" i="3"/>
  <c r="T83" i="3" s="1"/>
  <c r="R83" i="3"/>
  <c r="Q83" i="3"/>
  <c r="P83" i="3"/>
  <c r="O83" i="3"/>
  <c r="N83" i="3"/>
  <c r="M83" i="3"/>
  <c r="L83" i="3"/>
  <c r="S82" i="3"/>
  <c r="T82" i="3" s="1"/>
  <c r="R82" i="3"/>
  <c r="Q82" i="3"/>
  <c r="P82" i="3"/>
  <c r="O82" i="3"/>
  <c r="N82" i="3"/>
  <c r="M82" i="3"/>
  <c r="L82" i="3"/>
  <c r="S81" i="3"/>
  <c r="T81" i="3" s="1"/>
  <c r="R81" i="3"/>
  <c r="Q81" i="3"/>
  <c r="P81" i="3"/>
  <c r="O81" i="3"/>
  <c r="N81" i="3"/>
  <c r="M81" i="3"/>
  <c r="L81" i="3"/>
  <c r="S80" i="3"/>
  <c r="T80" i="3" s="1"/>
  <c r="R80" i="3"/>
  <c r="Q80" i="3"/>
  <c r="P80" i="3"/>
  <c r="O80" i="3"/>
  <c r="N80" i="3"/>
  <c r="M80" i="3"/>
  <c r="L80" i="3"/>
  <c r="S79" i="3"/>
  <c r="T79" i="3" s="1"/>
  <c r="R79" i="3"/>
  <c r="Q79" i="3"/>
  <c r="P79" i="3"/>
  <c r="O79" i="3"/>
  <c r="N79" i="3"/>
  <c r="M79" i="3"/>
  <c r="L79" i="3"/>
  <c r="S78" i="3"/>
  <c r="T78" i="3" s="1"/>
  <c r="R78" i="3"/>
  <c r="Q78" i="3"/>
  <c r="P78" i="3"/>
  <c r="O78" i="3"/>
  <c r="N78" i="3"/>
  <c r="M78" i="3"/>
  <c r="L78" i="3"/>
  <c r="S77" i="3"/>
  <c r="T77" i="3" s="1"/>
  <c r="R77" i="3"/>
  <c r="Q77" i="3"/>
  <c r="P77" i="3"/>
  <c r="O77" i="3"/>
  <c r="N77" i="3"/>
  <c r="M77" i="3"/>
  <c r="L77" i="3"/>
  <c r="S76" i="3"/>
  <c r="T76" i="3" s="1"/>
  <c r="R76" i="3"/>
  <c r="Q76" i="3"/>
  <c r="P76" i="3"/>
  <c r="O76" i="3"/>
  <c r="N76" i="3"/>
  <c r="M76" i="3"/>
  <c r="L76" i="3"/>
  <c r="S75" i="3"/>
  <c r="T75" i="3" s="1"/>
  <c r="R75" i="3"/>
  <c r="Q75" i="3"/>
  <c r="P75" i="3"/>
  <c r="O75" i="3"/>
  <c r="N75" i="3"/>
  <c r="M75" i="3"/>
  <c r="L75" i="3"/>
  <c r="S74" i="3"/>
  <c r="T74" i="3" s="1"/>
  <c r="R74" i="3"/>
  <c r="Q74" i="3"/>
  <c r="P74" i="3"/>
  <c r="O74" i="3"/>
  <c r="N74" i="3"/>
  <c r="M74" i="3"/>
  <c r="L74" i="3"/>
  <c r="S73" i="3"/>
  <c r="T73" i="3" s="1"/>
  <c r="R73" i="3"/>
  <c r="Q73" i="3"/>
  <c r="P73" i="3"/>
  <c r="O73" i="3"/>
  <c r="N73" i="3"/>
  <c r="M73" i="3"/>
  <c r="L73" i="3"/>
  <c r="S72" i="3"/>
  <c r="T72" i="3" s="1"/>
  <c r="R72" i="3"/>
  <c r="Q72" i="3"/>
  <c r="P72" i="3"/>
  <c r="O72" i="3"/>
  <c r="N72" i="3"/>
  <c r="M72" i="3"/>
  <c r="L72" i="3"/>
  <c r="S71" i="3"/>
  <c r="T71" i="3" s="1"/>
  <c r="R71" i="3"/>
  <c r="Q71" i="3"/>
  <c r="P71" i="3"/>
  <c r="O71" i="3"/>
  <c r="N71" i="3"/>
  <c r="M71" i="3"/>
  <c r="L71" i="3"/>
  <c r="S70" i="3"/>
  <c r="T70" i="3" s="1"/>
  <c r="R70" i="3"/>
  <c r="Q70" i="3"/>
  <c r="P70" i="3"/>
  <c r="O70" i="3"/>
  <c r="N70" i="3"/>
  <c r="M70" i="3"/>
  <c r="L70" i="3"/>
  <c r="S69" i="3"/>
  <c r="T69" i="3" s="1"/>
  <c r="R69" i="3"/>
  <c r="Q69" i="3"/>
  <c r="P69" i="3"/>
  <c r="O69" i="3"/>
  <c r="N69" i="3"/>
  <c r="M69" i="3"/>
  <c r="L69" i="3"/>
  <c r="S68" i="3"/>
  <c r="T68" i="3" s="1"/>
  <c r="R68" i="3"/>
  <c r="Q68" i="3"/>
  <c r="P68" i="3"/>
  <c r="O68" i="3"/>
  <c r="N68" i="3"/>
  <c r="M68" i="3"/>
  <c r="L68" i="3"/>
  <c r="S67" i="3"/>
  <c r="T67" i="3" s="1"/>
  <c r="R67" i="3"/>
  <c r="Q67" i="3"/>
  <c r="P67" i="3"/>
  <c r="O67" i="3"/>
  <c r="N67" i="3"/>
  <c r="M67" i="3"/>
  <c r="L67" i="3"/>
  <c r="S66" i="3"/>
  <c r="T66" i="3" s="1"/>
  <c r="R66" i="3"/>
  <c r="Q66" i="3"/>
  <c r="P66" i="3"/>
  <c r="O66" i="3"/>
  <c r="N66" i="3"/>
  <c r="M66" i="3"/>
  <c r="L66" i="3"/>
  <c r="S65" i="3"/>
  <c r="T65" i="3" s="1"/>
  <c r="R65" i="3"/>
  <c r="Q65" i="3"/>
  <c r="P65" i="3"/>
  <c r="O65" i="3"/>
  <c r="N65" i="3"/>
  <c r="M65" i="3"/>
  <c r="L65" i="3"/>
  <c r="S64" i="3"/>
  <c r="T64" i="3" s="1"/>
  <c r="R64" i="3"/>
  <c r="Q64" i="3"/>
  <c r="P64" i="3"/>
  <c r="O64" i="3"/>
  <c r="N64" i="3"/>
  <c r="M64" i="3"/>
  <c r="L64" i="3"/>
  <c r="S63" i="3"/>
  <c r="T63" i="3" s="1"/>
  <c r="R63" i="3"/>
  <c r="Q63" i="3"/>
  <c r="P63" i="3"/>
  <c r="O63" i="3"/>
  <c r="N63" i="3"/>
  <c r="M63" i="3"/>
  <c r="L63" i="3"/>
  <c r="S62" i="3"/>
  <c r="R62" i="3"/>
  <c r="Q62" i="3"/>
  <c r="P62" i="3"/>
  <c r="O62" i="3"/>
  <c r="N62" i="3"/>
  <c r="M62" i="3"/>
  <c r="L62" i="3"/>
  <c r="S61" i="3"/>
  <c r="T61" i="3" s="1"/>
  <c r="R61" i="3"/>
  <c r="Q61" i="3"/>
  <c r="P61" i="3"/>
  <c r="O61" i="3"/>
  <c r="N61" i="3"/>
  <c r="M61" i="3"/>
  <c r="L61" i="3"/>
  <c r="S60" i="3"/>
  <c r="T60" i="3" s="1"/>
  <c r="R60" i="3"/>
  <c r="Q60" i="3"/>
  <c r="P60" i="3"/>
  <c r="O60" i="3"/>
  <c r="N60" i="3"/>
  <c r="M60" i="3"/>
  <c r="L60" i="3"/>
  <c r="S59" i="3"/>
  <c r="T59" i="3" s="1"/>
  <c r="R59" i="3"/>
  <c r="Q59" i="3"/>
  <c r="P59" i="3"/>
  <c r="O59" i="3"/>
  <c r="N59" i="3"/>
  <c r="M59" i="3"/>
  <c r="L59" i="3"/>
  <c r="S58" i="3"/>
  <c r="T58" i="3" s="1"/>
  <c r="R58" i="3"/>
  <c r="Q58" i="3"/>
  <c r="P58" i="3"/>
  <c r="O58" i="3"/>
  <c r="N58" i="3"/>
  <c r="M58" i="3"/>
  <c r="L58" i="3"/>
  <c r="S57" i="3"/>
  <c r="T57" i="3" s="1"/>
  <c r="R57" i="3"/>
  <c r="Q57" i="3"/>
  <c r="P57" i="3"/>
  <c r="O57" i="3"/>
  <c r="N57" i="3"/>
  <c r="M57" i="3"/>
  <c r="L57" i="3"/>
  <c r="S56" i="3"/>
  <c r="T56" i="3" s="1"/>
  <c r="R56" i="3"/>
  <c r="Q56" i="3"/>
  <c r="P56" i="3"/>
  <c r="O56" i="3"/>
  <c r="N56" i="3"/>
  <c r="M56" i="3"/>
  <c r="L56" i="3"/>
  <c r="S55" i="3"/>
  <c r="R55" i="3"/>
  <c r="Q55" i="3"/>
  <c r="P55" i="3"/>
  <c r="O55" i="3"/>
  <c r="N55" i="3"/>
  <c r="M55" i="3"/>
  <c r="L55" i="3"/>
  <c r="S54" i="3"/>
  <c r="T54" i="3" s="1"/>
  <c r="R54" i="3"/>
  <c r="Q54" i="3"/>
  <c r="P54" i="3"/>
  <c r="O54" i="3"/>
  <c r="N54" i="3"/>
  <c r="M54" i="3"/>
  <c r="L54" i="3"/>
  <c r="S53" i="3"/>
  <c r="T53" i="3" s="1"/>
  <c r="R53" i="3"/>
  <c r="Q53" i="3"/>
  <c r="P53" i="3"/>
  <c r="O53" i="3"/>
  <c r="N53" i="3"/>
  <c r="M53" i="3"/>
  <c r="L53" i="3"/>
  <c r="S52" i="3"/>
  <c r="R52" i="3"/>
  <c r="Q52" i="3"/>
  <c r="P52" i="3"/>
  <c r="O52" i="3"/>
  <c r="N52" i="3"/>
  <c r="M52" i="3"/>
  <c r="L52" i="3"/>
  <c r="S51" i="3"/>
  <c r="T51" i="3" s="1"/>
  <c r="R51" i="3"/>
  <c r="Q51" i="3"/>
  <c r="P51" i="3"/>
  <c r="O51" i="3"/>
  <c r="N51" i="3"/>
  <c r="M51" i="3"/>
  <c r="L51" i="3"/>
  <c r="S50" i="3"/>
  <c r="T50" i="3" s="1"/>
  <c r="R50" i="3"/>
  <c r="Q50" i="3"/>
  <c r="P50" i="3"/>
  <c r="O50" i="3"/>
  <c r="N50" i="3"/>
  <c r="M50" i="3"/>
  <c r="L50" i="3"/>
  <c r="S49" i="3"/>
  <c r="R49" i="3"/>
  <c r="Q49" i="3"/>
  <c r="P49" i="3"/>
  <c r="O49" i="3"/>
  <c r="N49" i="3"/>
  <c r="M49" i="3"/>
  <c r="L49" i="3"/>
  <c r="S48" i="3"/>
  <c r="R48" i="3"/>
  <c r="Q48" i="3"/>
  <c r="P48" i="3"/>
  <c r="O48" i="3"/>
  <c r="N48" i="3"/>
  <c r="M48" i="3"/>
  <c r="L48" i="3"/>
  <c r="S47" i="3"/>
  <c r="R47" i="3"/>
  <c r="Q47" i="3"/>
  <c r="P47" i="3"/>
  <c r="O47" i="3"/>
  <c r="N47" i="3"/>
  <c r="M47" i="3"/>
  <c r="L47" i="3"/>
  <c r="S46" i="3"/>
  <c r="T46" i="3" s="1"/>
  <c r="R46" i="3"/>
  <c r="Q46" i="3"/>
  <c r="P46" i="3"/>
  <c r="O46" i="3"/>
  <c r="N46" i="3"/>
  <c r="M46" i="3"/>
  <c r="L46" i="3"/>
  <c r="S45" i="3"/>
  <c r="R45" i="3"/>
  <c r="Q45" i="3"/>
  <c r="P45" i="3"/>
  <c r="O45" i="3"/>
  <c r="N45" i="3"/>
  <c r="M45" i="3"/>
  <c r="L45" i="3"/>
  <c r="S44" i="3"/>
  <c r="R44" i="3"/>
  <c r="Q44" i="3"/>
  <c r="P44" i="3"/>
  <c r="O44" i="3"/>
  <c r="N44" i="3"/>
  <c r="M44" i="3"/>
  <c r="L44" i="3"/>
  <c r="S43" i="3"/>
  <c r="T43" i="3" s="1"/>
  <c r="R43" i="3"/>
  <c r="Q43" i="3"/>
  <c r="P43" i="3"/>
  <c r="O43" i="3"/>
  <c r="N43" i="3"/>
  <c r="M43" i="3"/>
  <c r="L43" i="3"/>
  <c r="S42" i="3"/>
  <c r="T42" i="3" s="1"/>
  <c r="R42" i="3"/>
  <c r="Q42" i="3"/>
  <c r="P42" i="3"/>
  <c r="O42" i="3"/>
  <c r="N42" i="3"/>
  <c r="M42" i="3"/>
  <c r="L42" i="3"/>
  <c r="S41" i="3"/>
  <c r="R41" i="3"/>
  <c r="Q41" i="3"/>
  <c r="P41" i="3"/>
  <c r="O41" i="3"/>
  <c r="N41" i="3"/>
  <c r="M41" i="3"/>
  <c r="L41" i="3"/>
  <c r="S40" i="3"/>
  <c r="R40" i="3"/>
  <c r="Q40" i="3"/>
  <c r="P40" i="3"/>
  <c r="O40" i="3"/>
  <c r="N40" i="3"/>
  <c r="M40" i="3"/>
  <c r="L40" i="3"/>
  <c r="S39" i="3"/>
  <c r="T39" i="3" s="1"/>
  <c r="R39" i="3"/>
  <c r="Q39" i="3"/>
  <c r="P39" i="3"/>
  <c r="O39" i="3"/>
  <c r="N39" i="3"/>
  <c r="M39" i="3"/>
  <c r="L39" i="3"/>
  <c r="S38" i="3"/>
  <c r="R38" i="3"/>
  <c r="Q38" i="3"/>
  <c r="P38" i="3"/>
  <c r="O38" i="3"/>
  <c r="N38" i="3"/>
  <c r="M38" i="3"/>
  <c r="L38" i="3"/>
  <c r="S37" i="3"/>
  <c r="T37" i="3" s="1"/>
  <c r="R37" i="3"/>
  <c r="Q37" i="3"/>
  <c r="P37" i="3"/>
  <c r="O37" i="3"/>
  <c r="N37" i="3"/>
  <c r="M37" i="3"/>
  <c r="L37" i="3"/>
  <c r="S36" i="3"/>
  <c r="R36" i="3"/>
  <c r="Q36" i="3"/>
  <c r="P36" i="3"/>
  <c r="O36" i="3"/>
  <c r="N36" i="3"/>
  <c r="M36" i="3"/>
  <c r="L36" i="3"/>
  <c r="S35" i="3"/>
  <c r="T35" i="3" s="1"/>
  <c r="R35" i="3"/>
  <c r="Q35" i="3"/>
  <c r="P35" i="3"/>
  <c r="O35" i="3"/>
  <c r="N35" i="3"/>
  <c r="M35" i="3"/>
  <c r="L35" i="3"/>
  <c r="S34" i="3"/>
  <c r="T34" i="3" s="1"/>
  <c r="R34" i="3"/>
  <c r="Q34" i="3"/>
  <c r="P34" i="3"/>
  <c r="O34" i="3"/>
  <c r="N34" i="3"/>
  <c r="M34" i="3"/>
  <c r="L34" i="3"/>
  <c r="S33" i="3"/>
  <c r="T33" i="3" s="1"/>
  <c r="R33" i="3"/>
  <c r="Q33" i="3"/>
  <c r="P33" i="3"/>
  <c r="O33" i="3"/>
  <c r="N33" i="3"/>
  <c r="M33" i="3"/>
  <c r="L33" i="3"/>
  <c r="S32" i="3"/>
  <c r="R32" i="3"/>
  <c r="Q32" i="3"/>
  <c r="P32" i="3"/>
  <c r="O32" i="3"/>
  <c r="N32" i="3"/>
  <c r="M32" i="3"/>
  <c r="L32" i="3"/>
  <c r="S31" i="3"/>
  <c r="R31" i="3"/>
  <c r="Q31" i="3"/>
  <c r="P31" i="3"/>
  <c r="O31" i="3"/>
  <c r="N31" i="3"/>
  <c r="M31" i="3"/>
  <c r="L31" i="3"/>
  <c r="S30" i="3"/>
  <c r="T30" i="3" s="1"/>
  <c r="R30" i="3"/>
  <c r="Q30" i="3"/>
  <c r="P30" i="3"/>
  <c r="O30" i="3"/>
  <c r="N30" i="3"/>
  <c r="M30" i="3"/>
  <c r="L30" i="3"/>
  <c r="S29" i="3"/>
  <c r="T29" i="3" s="1"/>
  <c r="R29" i="3"/>
  <c r="Q29" i="3"/>
  <c r="P29" i="3"/>
  <c r="O29" i="3"/>
  <c r="N29" i="3"/>
  <c r="M29" i="3"/>
  <c r="L29" i="3"/>
  <c r="S28" i="3"/>
  <c r="T28" i="3" s="1"/>
  <c r="R28" i="3"/>
  <c r="Q28" i="3"/>
  <c r="P28" i="3"/>
  <c r="O28" i="3"/>
  <c r="N28" i="3"/>
  <c r="M28" i="3"/>
  <c r="L28" i="3"/>
  <c r="S27" i="3"/>
  <c r="T27" i="3" s="1"/>
  <c r="R27" i="3"/>
  <c r="Q27" i="3"/>
  <c r="P27" i="3"/>
  <c r="O27" i="3"/>
  <c r="N27" i="3"/>
  <c r="M27" i="3"/>
  <c r="L27" i="3"/>
  <c r="S26" i="3"/>
  <c r="T26" i="3" s="1"/>
  <c r="R26" i="3"/>
  <c r="Q26" i="3"/>
  <c r="P26" i="3"/>
  <c r="O26" i="3"/>
  <c r="N26" i="3"/>
  <c r="M26" i="3"/>
  <c r="L26" i="3"/>
  <c r="S25" i="3"/>
  <c r="T25" i="3" s="1"/>
  <c r="R25" i="3"/>
  <c r="Q25" i="3"/>
  <c r="P25" i="3"/>
  <c r="O25" i="3"/>
  <c r="N25" i="3"/>
  <c r="M25" i="3"/>
  <c r="L25" i="3"/>
  <c r="S24" i="3"/>
  <c r="T24" i="3" s="1"/>
  <c r="R24" i="3"/>
  <c r="Q24" i="3"/>
  <c r="P24" i="3"/>
  <c r="O24" i="3"/>
  <c r="N24" i="3"/>
  <c r="M24" i="3"/>
  <c r="L24" i="3"/>
  <c r="S23" i="3"/>
  <c r="T23" i="3" s="1"/>
  <c r="R23" i="3"/>
  <c r="Q23" i="3"/>
  <c r="P23" i="3"/>
  <c r="O23" i="3"/>
  <c r="N23" i="3"/>
  <c r="M23" i="3"/>
  <c r="L23" i="3"/>
  <c r="S22" i="3"/>
  <c r="T22" i="3" s="1"/>
  <c r="R22" i="3"/>
  <c r="Q22" i="3"/>
  <c r="P22" i="3"/>
  <c r="O22" i="3"/>
  <c r="N22" i="3"/>
  <c r="M22" i="3"/>
  <c r="L22" i="3"/>
  <c r="S21" i="3"/>
  <c r="R21" i="3"/>
  <c r="Q21" i="3"/>
  <c r="P21" i="3"/>
  <c r="O21" i="3"/>
  <c r="N21" i="3"/>
  <c r="M21" i="3"/>
  <c r="L21" i="3"/>
  <c r="S20" i="3"/>
  <c r="T20" i="3" s="1"/>
  <c r="R20" i="3"/>
  <c r="Q20" i="3"/>
  <c r="P20" i="3"/>
  <c r="O20" i="3"/>
  <c r="N20" i="3"/>
  <c r="M20" i="3"/>
  <c r="L20" i="3"/>
  <c r="S19" i="3"/>
  <c r="T19" i="3" s="1"/>
  <c r="R19" i="3"/>
  <c r="Q19" i="3"/>
  <c r="P19" i="3"/>
  <c r="O19" i="3"/>
  <c r="N19" i="3"/>
  <c r="M19" i="3"/>
  <c r="L19" i="3"/>
  <c r="S18" i="3"/>
  <c r="T18" i="3" s="1"/>
  <c r="R18" i="3"/>
  <c r="Q18" i="3"/>
  <c r="P18" i="3"/>
  <c r="O18" i="3"/>
  <c r="N18" i="3"/>
  <c r="M18" i="3"/>
  <c r="L18" i="3"/>
  <c r="S17" i="3"/>
  <c r="R17" i="3"/>
  <c r="Q17" i="3"/>
  <c r="P17" i="3"/>
  <c r="O17" i="3"/>
  <c r="N17" i="3"/>
  <c r="M17" i="3"/>
  <c r="L17" i="3"/>
  <c r="S16" i="3"/>
  <c r="T16" i="3" s="1"/>
  <c r="R16" i="3"/>
  <c r="Q16" i="3"/>
  <c r="P16" i="3"/>
  <c r="O16" i="3"/>
  <c r="N16" i="3"/>
  <c r="M16" i="3"/>
  <c r="L16" i="3"/>
  <c r="S15" i="3"/>
  <c r="T15" i="3" s="1"/>
  <c r="R15" i="3"/>
  <c r="Q15" i="3"/>
  <c r="P15" i="3"/>
  <c r="O15" i="3"/>
  <c r="N15" i="3"/>
  <c r="M15" i="3"/>
  <c r="L15" i="3"/>
  <c r="S14" i="3"/>
  <c r="T14" i="3" s="1"/>
  <c r="R14" i="3"/>
  <c r="Q14" i="3"/>
  <c r="P14" i="3"/>
  <c r="O14" i="3"/>
  <c r="N14" i="3"/>
  <c r="M14" i="3"/>
  <c r="L14" i="3"/>
  <c r="S13" i="3"/>
  <c r="T13" i="3" s="1"/>
  <c r="R13" i="3"/>
  <c r="Q13" i="3"/>
  <c r="P13" i="3"/>
  <c r="O13" i="3"/>
  <c r="N13" i="3"/>
  <c r="M13" i="3"/>
  <c r="L13" i="3"/>
  <c r="S12" i="3"/>
  <c r="T12" i="3" s="1"/>
  <c r="R12" i="3"/>
  <c r="Q12" i="3"/>
  <c r="P12" i="3"/>
  <c r="O12" i="3"/>
  <c r="N12" i="3"/>
  <c r="M12" i="3"/>
  <c r="L12" i="3"/>
  <c r="S11" i="3"/>
  <c r="T11" i="3" s="1"/>
  <c r="R11" i="3"/>
  <c r="Q11" i="3"/>
  <c r="P11" i="3"/>
  <c r="O11" i="3"/>
  <c r="N11" i="3"/>
  <c r="M11" i="3"/>
  <c r="L11" i="3"/>
  <c r="S10" i="3"/>
  <c r="T10" i="3" s="1"/>
  <c r="R10" i="3"/>
  <c r="Q10" i="3"/>
  <c r="P10" i="3"/>
  <c r="O10" i="3"/>
  <c r="N10" i="3"/>
  <c r="M10" i="3"/>
  <c r="L10" i="3"/>
  <c r="S9" i="3"/>
  <c r="T9" i="3" s="1"/>
  <c r="R9" i="3"/>
  <c r="Q9" i="3"/>
  <c r="P9" i="3"/>
  <c r="O9" i="3"/>
  <c r="N9" i="3"/>
  <c r="M9" i="3"/>
  <c r="L9" i="3"/>
  <c r="S8" i="3"/>
  <c r="T8" i="3" s="1"/>
  <c r="R8" i="3"/>
  <c r="Q8" i="3"/>
  <c r="P8" i="3"/>
  <c r="O8" i="3"/>
  <c r="N8" i="3"/>
  <c r="M8" i="3"/>
  <c r="L8" i="3"/>
  <c r="S7" i="3"/>
  <c r="T7" i="3" s="1"/>
  <c r="R7" i="3"/>
  <c r="Q7" i="3"/>
  <c r="P7" i="3"/>
  <c r="O7" i="3"/>
  <c r="N7" i="3"/>
  <c r="M7" i="3"/>
  <c r="L7" i="3"/>
  <c r="S6" i="3"/>
  <c r="T6" i="3" s="1"/>
  <c r="R6" i="3"/>
  <c r="Q6" i="3"/>
  <c r="P6" i="3"/>
  <c r="O6" i="3"/>
  <c r="N6" i="3"/>
  <c r="M6" i="3"/>
  <c r="L6" i="3"/>
  <c r="S5" i="3"/>
  <c r="T5" i="3" s="1"/>
  <c r="R5" i="3"/>
  <c r="Q5" i="3"/>
  <c r="P5" i="3"/>
  <c r="O5" i="3"/>
  <c r="N5" i="3"/>
  <c r="M5" i="3"/>
  <c r="L5" i="3"/>
  <c r="S4" i="3"/>
  <c r="R4" i="3"/>
  <c r="Q4" i="3"/>
  <c r="P4" i="3"/>
  <c r="O4" i="3"/>
  <c r="N4" i="3"/>
  <c r="M4" i="3"/>
  <c r="L4" i="3"/>
  <c r="S3" i="3"/>
  <c r="T3" i="3" s="1"/>
  <c r="R3" i="3"/>
  <c r="Q3" i="3"/>
  <c r="P3" i="3"/>
  <c r="O3" i="3"/>
  <c r="N3" i="3"/>
  <c r="M3" i="3"/>
  <c r="L3" i="3"/>
  <c r="S2" i="3"/>
  <c r="R2" i="3"/>
  <c r="Q2" i="3"/>
  <c r="P2" i="3"/>
  <c r="O2" i="3"/>
  <c r="N2" i="3"/>
  <c r="M2" i="3"/>
  <c r="L2" i="3"/>
  <c r="K45" i="2"/>
  <c r="K44" i="2"/>
  <c r="K43" i="2"/>
  <c r="K42" i="2"/>
  <c r="K41" i="2"/>
  <c r="J26" i="2"/>
  <c r="L22" i="2"/>
  <c r="K22" i="2"/>
  <c r="L21" i="2"/>
  <c r="K21" i="2"/>
  <c r="L20" i="2"/>
  <c r="K20" i="2"/>
  <c r="L19" i="2"/>
  <c r="K19" i="2"/>
  <c r="L18" i="2"/>
  <c r="K18" i="2"/>
  <c r="L14" i="2"/>
  <c r="M14" i="2" s="1"/>
  <c r="K14" i="2"/>
  <c r="L13" i="2"/>
  <c r="M13" i="2" s="1"/>
  <c r="K13" i="2"/>
  <c r="L12" i="2"/>
  <c r="M12" i="2" s="1"/>
  <c r="K12" i="2"/>
  <c r="B12" i="2"/>
  <c r="L11" i="2"/>
  <c r="M11" i="2" s="1"/>
  <c r="K11" i="2"/>
  <c r="L10" i="2"/>
  <c r="M10" i="2" s="1"/>
  <c r="K10" i="2"/>
  <c r="L9" i="2"/>
  <c r="M9" i="2" s="1"/>
  <c r="K9" i="2"/>
  <c r="L8" i="2"/>
  <c r="M8" i="2" s="1"/>
  <c r="K8" i="2"/>
  <c r="L7" i="2"/>
  <c r="M7" i="2" s="1"/>
  <c r="K7" i="2"/>
  <c r="L6" i="2"/>
  <c r="M6" i="2" s="1"/>
  <c r="K6" i="2"/>
  <c r="L5" i="2"/>
  <c r="M5" i="2" s="1"/>
  <c r="K5" i="2"/>
  <c r="B8" i="2" s="1"/>
  <c r="B5" i="2"/>
  <c r="B2" i="2"/>
  <c r="G13" i="1"/>
  <c r="G12" i="1"/>
  <c r="G11" i="1"/>
  <c r="G10" i="1"/>
  <c r="G9" i="1"/>
  <c r="A2" i="1"/>
  <c r="T223" i="3" l="1"/>
  <c r="T218" i="3"/>
  <c r="T167" i="3"/>
  <c r="T165" i="3"/>
  <c r="T150" i="3"/>
  <c r="T93" i="3"/>
  <c r="T21" i="3"/>
  <c r="T4" i="3"/>
  <c r="T249" i="3"/>
  <c r="T246" i="3"/>
  <c r="T242" i="3"/>
  <c r="T154" i="3"/>
  <c r="T119" i="3"/>
  <c r="T52" i="3"/>
  <c r="T45" i="3"/>
  <c r="T41" i="3"/>
  <c r="T235" i="3"/>
  <c r="T136" i="3"/>
  <c r="T100" i="3"/>
  <c r="T55" i="3"/>
  <c r="T40" i="3"/>
  <c r="T31" i="3"/>
  <c r="T240" i="3"/>
  <c r="T231" i="3"/>
  <c r="T216" i="3"/>
  <c r="T209" i="3"/>
  <c r="T170" i="3"/>
  <c r="T168" i="3"/>
  <c r="T159" i="3"/>
  <c r="T121" i="3"/>
  <c r="T62" i="3"/>
  <c r="T48" i="3"/>
  <c r="T38" i="3"/>
  <c r="T36" i="3"/>
  <c r="T238" i="3"/>
  <c r="T193" i="3"/>
  <c r="T152" i="3"/>
  <c r="T130" i="3"/>
  <c r="T129" i="3"/>
  <c r="T85" i="3"/>
  <c r="T49" i="3"/>
  <c r="T44" i="3"/>
  <c r="T212" i="3"/>
  <c r="T204" i="3"/>
  <c r="T180" i="3"/>
  <c r="T174" i="3"/>
  <c r="T92" i="3"/>
  <c r="T90" i="3"/>
  <c r="T47" i="3"/>
  <c r="T32" i="3"/>
  <c r="T17" i="3"/>
  <c r="T2" i="3"/>
  <c r="B7" i="5"/>
  <c r="B23" i="14"/>
  <c r="B22" i="14"/>
  <c r="B14" i="14"/>
  <c r="B13" i="14"/>
  <c r="C18" i="14"/>
  <c r="D18" i="14" s="1"/>
  <c r="E18" i="14" s="1"/>
  <c r="C17" i="14"/>
  <c r="D17" i="14" s="1"/>
  <c r="E17" i="14" s="1"/>
  <c r="C12" i="14"/>
  <c r="B6" i="14"/>
  <c r="B25" i="10"/>
  <c r="G9" i="10"/>
  <c r="B6" i="10"/>
  <c r="F9" i="10"/>
  <c r="E9" i="10"/>
  <c r="B16" i="10"/>
  <c r="B9" i="9"/>
  <c r="B14" i="9"/>
  <c r="B11" i="9"/>
  <c r="B10" i="9"/>
  <c r="B8" i="9"/>
  <c r="B7" i="9"/>
  <c r="B13" i="9"/>
  <c r="B25" i="8"/>
  <c r="C25" i="8"/>
  <c r="C24" i="8"/>
  <c r="B24" i="8"/>
  <c r="C23" i="8"/>
  <c r="B23" i="8"/>
  <c r="C22" i="8"/>
  <c r="B22" i="8"/>
  <c r="D13" i="7"/>
  <c r="E13" i="7"/>
  <c r="F13" i="7"/>
  <c r="E12" i="7"/>
  <c r="F12" i="7"/>
  <c r="D12" i="7"/>
  <c r="F11" i="7"/>
  <c r="E11" i="7"/>
  <c r="D11" i="7"/>
  <c r="F10" i="7"/>
  <c r="E10" i="7"/>
  <c r="D10" i="7"/>
  <c r="F9" i="7"/>
  <c r="D9" i="7"/>
  <c r="E9" i="7"/>
  <c r="F8" i="7"/>
  <c r="D8" i="7"/>
  <c r="E8" i="7"/>
  <c r="F7" i="7"/>
  <c r="E7" i="7"/>
  <c r="D7" i="7"/>
  <c r="D6" i="7"/>
  <c r="F6" i="7"/>
  <c r="E6" i="7"/>
  <c r="B16" i="7"/>
  <c r="D5" i="7"/>
  <c r="E5" i="7"/>
  <c r="F5" i="7"/>
  <c r="E4" i="7"/>
  <c r="D4" i="7"/>
  <c r="F4" i="7"/>
  <c r="B15" i="7" s="1"/>
  <c r="B9" i="2" s="1"/>
  <c r="F86" i="6"/>
  <c r="I86" i="6"/>
  <c r="J86" i="6"/>
  <c r="K86" i="6"/>
  <c r="F85" i="6"/>
  <c r="I85" i="6"/>
  <c r="J85" i="6"/>
  <c r="K85" i="6"/>
  <c r="F84" i="6"/>
  <c r="I84" i="6"/>
  <c r="J84" i="6"/>
  <c r="K84" i="6"/>
  <c r="K83" i="6"/>
  <c r="F83" i="6"/>
  <c r="J83" i="6"/>
  <c r="I83" i="6"/>
  <c r="F82" i="6"/>
  <c r="I82" i="6"/>
  <c r="J82" i="6"/>
  <c r="K82" i="6"/>
  <c r="K81" i="6"/>
  <c r="I81" i="6"/>
  <c r="F81" i="6"/>
  <c r="J81" i="6"/>
  <c r="F80" i="6"/>
  <c r="K80" i="6"/>
  <c r="J80" i="6"/>
  <c r="I80" i="6"/>
  <c r="K79" i="6"/>
  <c r="J79" i="6"/>
  <c r="I79" i="6"/>
  <c r="F79" i="6"/>
  <c r="J78" i="6"/>
  <c r="K78" i="6"/>
  <c r="I78" i="6"/>
  <c r="F78" i="6"/>
  <c r="K77" i="6"/>
  <c r="J77" i="6"/>
  <c r="I77" i="6"/>
  <c r="F77" i="6"/>
  <c r="K76" i="6"/>
  <c r="J76" i="6"/>
  <c r="I76" i="6"/>
  <c r="F76" i="6"/>
  <c r="K75" i="6"/>
  <c r="J75" i="6"/>
  <c r="I75" i="6"/>
  <c r="F75" i="6"/>
  <c r="F74" i="6"/>
  <c r="K74" i="6"/>
  <c r="J74" i="6"/>
  <c r="I74" i="6"/>
  <c r="K73" i="6"/>
  <c r="J73" i="6"/>
  <c r="I73" i="6"/>
  <c r="F73" i="6"/>
  <c r="J72" i="6"/>
  <c r="I72" i="6"/>
  <c r="K72" i="6"/>
  <c r="F72" i="6"/>
  <c r="K71" i="6"/>
  <c r="J71" i="6"/>
  <c r="I71" i="6"/>
  <c r="F71" i="6"/>
  <c r="K70" i="6"/>
  <c r="J70" i="6"/>
  <c r="I70" i="6"/>
  <c r="F70" i="6"/>
  <c r="K69" i="6"/>
  <c r="J69" i="6"/>
  <c r="I69" i="6"/>
  <c r="F69" i="6"/>
  <c r="K68" i="6"/>
  <c r="J68" i="6"/>
  <c r="I68" i="6"/>
  <c r="F68" i="6"/>
  <c r="K67" i="6"/>
  <c r="J67" i="6"/>
  <c r="I67" i="6"/>
  <c r="F67" i="6"/>
  <c r="K66" i="6"/>
  <c r="J66" i="6"/>
  <c r="I66" i="6"/>
  <c r="F66" i="6"/>
  <c r="J65" i="6"/>
  <c r="K65" i="6"/>
  <c r="I65" i="6"/>
  <c r="F65" i="6"/>
  <c r="K64" i="6"/>
  <c r="J64" i="6"/>
  <c r="I64" i="6"/>
  <c r="F64" i="6"/>
  <c r="K63" i="6"/>
  <c r="J63" i="6"/>
  <c r="I63" i="6"/>
  <c r="F63" i="6"/>
  <c r="F62" i="6"/>
  <c r="I62" i="6"/>
  <c r="J62" i="6"/>
  <c r="K62" i="6"/>
  <c r="J61" i="6"/>
  <c r="K61" i="6"/>
  <c r="I61" i="6"/>
  <c r="F61" i="6"/>
  <c r="F60" i="6"/>
  <c r="I60" i="6"/>
  <c r="J60" i="6"/>
  <c r="K60" i="6"/>
  <c r="K59" i="6"/>
  <c r="J59" i="6"/>
  <c r="I59" i="6"/>
  <c r="F59" i="6"/>
  <c r="K58" i="6"/>
  <c r="J58" i="6"/>
  <c r="I58" i="6"/>
  <c r="F58" i="6"/>
  <c r="F57" i="6"/>
  <c r="I57" i="6"/>
  <c r="J57" i="6"/>
  <c r="K57" i="6"/>
  <c r="F56" i="6"/>
  <c r="I56" i="6"/>
  <c r="J56" i="6"/>
  <c r="K56" i="6"/>
  <c r="I54" i="6"/>
  <c r="F54" i="6"/>
  <c r="K54" i="6"/>
  <c r="J54" i="6"/>
  <c r="F53" i="6"/>
  <c r="I53" i="6"/>
  <c r="J53" i="6"/>
  <c r="K53" i="6"/>
  <c r="I52" i="6"/>
  <c r="J52" i="6"/>
  <c r="K52" i="6"/>
  <c r="F52" i="6"/>
  <c r="F51" i="6"/>
  <c r="I51" i="6"/>
  <c r="K51" i="6"/>
  <c r="J51" i="6"/>
  <c r="K50" i="6"/>
  <c r="J50" i="6"/>
  <c r="F50" i="6"/>
  <c r="I50" i="6"/>
  <c r="K49" i="6"/>
  <c r="F49" i="6"/>
  <c r="I49" i="6"/>
  <c r="J49" i="6"/>
  <c r="I48" i="6"/>
  <c r="J48" i="6"/>
  <c r="K48" i="6"/>
  <c r="F48" i="6"/>
  <c r="I47" i="6"/>
  <c r="F47" i="6"/>
  <c r="K47" i="6"/>
  <c r="J47" i="6"/>
  <c r="I46" i="6"/>
  <c r="F46" i="6"/>
  <c r="K46" i="6"/>
  <c r="J46" i="6"/>
  <c r="K45" i="6"/>
  <c r="J45" i="6"/>
  <c r="I45" i="6"/>
  <c r="F45" i="6"/>
  <c r="F44" i="6"/>
  <c r="K44" i="6"/>
  <c r="J44" i="6"/>
  <c r="I44" i="6"/>
  <c r="K43" i="6"/>
  <c r="J43" i="6"/>
  <c r="I43" i="6"/>
  <c r="F43" i="6"/>
  <c r="F42" i="6"/>
  <c r="I42" i="6"/>
  <c r="K42" i="6"/>
  <c r="J42" i="6"/>
  <c r="I41" i="6"/>
  <c r="F41" i="6"/>
  <c r="K41" i="6"/>
  <c r="J41" i="6"/>
  <c r="F40" i="6"/>
  <c r="I40" i="6"/>
  <c r="J40" i="6"/>
  <c r="K40" i="6"/>
  <c r="K39" i="6"/>
  <c r="I39" i="6"/>
  <c r="F39" i="6"/>
  <c r="J39" i="6"/>
  <c r="J38" i="6"/>
  <c r="F38" i="6"/>
  <c r="I38" i="6"/>
  <c r="K38" i="6"/>
  <c r="K37" i="6"/>
  <c r="J37" i="6"/>
  <c r="I37" i="6"/>
  <c r="F37" i="6"/>
  <c r="K36" i="6"/>
  <c r="J36" i="6"/>
  <c r="I36" i="6"/>
  <c r="F36" i="6"/>
  <c r="K35" i="6"/>
  <c r="J35" i="6"/>
  <c r="I35" i="6"/>
  <c r="F35" i="6"/>
  <c r="J34" i="6"/>
  <c r="I34" i="6"/>
  <c r="K34" i="6"/>
  <c r="F34" i="6"/>
  <c r="K33" i="6"/>
  <c r="J33" i="6"/>
  <c r="I33" i="6"/>
  <c r="F33" i="6"/>
  <c r="K32" i="6"/>
  <c r="J32" i="6"/>
  <c r="I32" i="6"/>
  <c r="F32" i="6"/>
  <c r="K31" i="6"/>
  <c r="J31" i="6"/>
  <c r="I31" i="6"/>
  <c r="F31" i="6"/>
  <c r="K30" i="6"/>
  <c r="J30" i="6"/>
  <c r="I30" i="6"/>
  <c r="F30" i="6"/>
  <c r="J29" i="6"/>
  <c r="F29" i="6"/>
  <c r="I29" i="6"/>
  <c r="K29" i="6"/>
  <c r="F28" i="6"/>
  <c r="I28" i="6"/>
  <c r="J28" i="6"/>
  <c r="K28" i="6"/>
  <c r="K27" i="6"/>
  <c r="F27" i="6"/>
  <c r="I27" i="6"/>
  <c r="J27" i="6"/>
  <c r="K26" i="6"/>
  <c r="J26" i="6"/>
  <c r="I26" i="6"/>
  <c r="F26" i="6"/>
  <c r="F25" i="6"/>
  <c r="K25" i="6"/>
  <c r="J25" i="6"/>
  <c r="I25" i="6"/>
  <c r="I24" i="6"/>
  <c r="K24" i="6"/>
  <c r="J24" i="6"/>
  <c r="F24" i="6"/>
  <c r="F23" i="6"/>
  <c r="I23" i="6"/>
  <c r="J23" i="6"/>
  <c r="K23" i="6"/>
  <c r="F21" i="6"/>
  <c r="I21" i="6"/>
  <c r="J21" i="6"/>
  <c r="K21" i="6"/>
  <c r="K20" i="6"/>
  <c r="J20" i="6"/>
  <c r="I20" i="6"/>
  <c r="F20" i="6"/>
  <c r="K19" i="6"/>
  <c r="F19" i="6"/>
  <c r="I19" i="6"/>
  <c r="J19" i="6"/>
  <c r="I18" i="6"/>
  <c r="J18" i="6"/>
  <c r="K18" i="6"/>
  <c r="F18" i="6"/>
  <c r="I17" i="6"/>
  <c r="F17" i="6"/>
  <c r="J17" i="6"/>
  <c r="K17" i="6"/>
  <c r="F16" i="6"/>
  <c r="I16" i="6"/>
  <c r="J16" i="6"/>
  <c r="K16" i="6"/>
  <c r="F15" i="6"/>
  <c r="I15" i="6"/>
  <c r="J15" i="6"/>
  <c r="K15" i="6"/>
  <c r="K14" i="6"/>
  <c r="J14" i="6"/>
  <c r="F14" i="6"/>
  <c r="I14" i="6"/>
  <c r="I13" i="6"/>
  <c r="J13" i="6"/>
  <c r="K13" i="6"/>
  <c r="F13" i="6"/>
  <c r="B21" i="8"/>
  <c r="C21" i="8"/>
  <c r="I12" i="6"/>
  <c r="F12" i="6"/>
  <c r="J12" i="6"/>
  <c r="K12" i="6"/>
  <c r="B20" i="8"/>
  <c r="C20" i="8"/>
  <c r="K11" i="6"/>
  <c r="I11" i="6"/>
  <c r="J11" i="6"/>
  <c r="F11" i="6"/>
  <c r="B19" i="8"/>
  <c r="C19" i="8"/>
  <c r="J10" i="6"/>
  <c r="F10" i="6"/>
  <c r="I10" i="6"/>
  <c r="K10" i="6"/>
  <c r="B18" i="8"/>
  <c r="C18" i="8"/>
  <c r="I9" i="6"/>
  <c r="J9" i="6"/>
  <c r="K9" i="6"/>
  <c r="F9" i="6"/>
  <c r="B17" i="8"/>
  <c r="C17" i="8"/>
  <c r="I55" i="6"/>
  <c r="F8" i="6"/>
  <c r="K8" i="6"/>
  <c r="J8" i="6"/>
  <c r="I8" i="6"/>
  <c r="I22" i="6"/>
  <c r="I4" i="7"/>
  <c r="I23" i="7"/>
  <c r="J23" i="7" s="1"/>
  <c r="A16" i="8"/>
  <c r="I33" i="7"/>
  <c r="J33" i="7" s="1"/>
  <c r="I32" i="7"/>
  <c r="J32" i="7" s="1"/>
  <c r="I31" i="7"/>
  <c r="J31" i="7" s="1"/>
  <c r="K31" i="7" s="1"/>
  <c r="I30" i="7"/>
  <c r="J30" i="7" s="1"/>
  <c r="I29" i="7"/>
  <c r="J29" i="7" s="1"/>
  <c r="I28" i="7"/>
  <c r="J28" i="7" s="1"/>
  <c r="K28" i="7" s="1"/>
  <c r="I27" i="7"/>
  <c r="J27" i="7" s="1"/>
  <c r="I26" i="7"/>
  <c r="J26" i="7" s="1"/>
  <c r="I25" i="7"/>
  <c r="J25" i="7" s="1"/>
  <c r="K25" i="7" s="1"/>
  <c r="I24" i="7"/>
  <c r="J24" i="7" s="1"/>
  <c r="I22" i="7"/>
  <c r="J22" i="7" s="1"/>
  <c r="J55" i="6"/>
  <c r="J22" i="6"/>
  <c r="F37" i="4"/>
  <c r="A38" i="4"/>
  <c r="E38" i="4"/>
  <c r="B38" i="4"/>
  <c r="E37" i="4"/>
  <c r="D32" i="4"/>
  <c r="B32" i="4"/>
  <c r="D31" i="4"/>
  <c r="B31" i="4"/>
  <c r="D30" i="4"/>
  <c r="B30" i="4"/>
  <c r="D29" i="4"/>
  <c r="B29" i="4"/>
  <c r="D28" i="4"/>
  <c r="D33" i="4" s="1"/>
  <c r="B28" i="4"/>
  <c r="B33" i="4" s="1"/>
  <c r="D23" i="4"/>
  <c r="B23" i="4"/>
  <c r="E22" i="4"/>
  <c r="B22" i="4"/>
  <c r="E21" i="4"/>
  <c r="C21" i="4"/>
  <c r="E20" i="4"/>
  <c r="C20" i="4"/>
  <c r="E19" i="4"/>
  <c r="C19" i="4"/>
  <c r="E14" i="4"/>
  <c r="D14" i="4"/>
  <c r="C14" i="4"/>
  <c r="B14" i="4"/>
  <c r="E13" i="4"/>
  <c r="D13" i="4"/>
  <c r="C13" i="4"/>
  <c r="B13" i="4"/>
  <c r="B37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B9" i="4"/>
  <c r="E8" i="4"/>
  <c r="B8" i="4"/>
  <c r="D7" i="4"/>
  <c r="C7" i="4"/>
  <c r="E6" i="4"/>
  <c r="C6" i="4"/>
  <c r="C5" i="4"/>
  <c r="E12" i="4"/>
  <c r="B20" i="4"/>
  <c r="B5" i="4"/>
  <c r="D5" i="4"/>
  <c r="E5" i="4"/>
  <c r="B6" i="4"/>
  <c r="D6" i="4"/>
  <c r="B7" i="4"/>
  <c r="E7" i="4"/>
  <c r="C8" i="4"/>
  <c r="D8" i="4"/>
  <c r="C9" i="4"/>
  <c r="B19" i="4"/>
  <c r="D19" i="4"/>
  <c r="D20" i="4"/>
  <c r="B21" i="4"/>
  <c r="D21" i="4"/>
  <c r="C22" i="4"/>
  <c r="D22" i="4"/>
  <c r="C23" i="4"/>
  <c r="E23" i="4"/>
  <c r="C28" i="4"/>
  <c r="E28" i="4"/>
  <c r="C29" i="4"/>
  <c r="E29" i="4"/>
  <c r="C30" i="4"/>
  <c r="E30" i="4"/>
  <c r="C31" i="4"/>
  <c r="E31" i="4"/>
  <c r="C32" i="4"/>
  <c r="E32" i="4"/>
  <c r="C37" i="4"/>
  <c r="D37" i="4"/>
  <c r="C38" i="4"/>
  <c r="D38" i="4"/>
  <c r="T133" i="3"/>
  <c r="T205" i="3"/>
  <c r="K26" i="2"/>
  <c r="J27" i="2"/>
  <c r="C10" i="5" l="1"/>
  <c r="D10" i="5"/>
  <c r="F10" i="5"/>
  <c r="H10" i="5"/>
  <c r="B11" i="5"/>
  <c r="D11" i="5"/>
  <c r="F11" i="5"/>
  <c r="H11" i="5"/>
  <c r="B12" i="5"/>
  <c r="D12" i="5"/>
  <c r="E12" i="5"/>
  <c r="G12" i="5"/>
  <c r="I12" i="5"/>
  <c r="C13" i="5"/>
  <c r="E13" i="5"/>
  <c r="G13" i="5"/>
  <c r="I13" i="5"/>
  <c r="C14" i="5"/>
  <c r="E14" i="5"/>
  <c r="G14" i="5"/>
  <c r="H14" i="5"/>
  <c r="B15" i="5"/>
  <c r="D15" i="5"/>
  <c r="F15" i="5"/>
  <c r="H15" i="5"/>
  <c r="B16" i="5"/>
  <c r="D16" i="5"/>
  <c r="F16" i="5"/>
  <c r="G16" i="5"/>
  <c r="I16" i="5"/>
  <c r="C17" i="5"/>
  <c r="E17" i="5"/>
  <c r="G17" i="5"/>
  <c r="I17" i="5"/>
  <c r="E18" i="5"/>
  <c r="G18" i="5"/>
  <c r="C19" i="5"/>
  <c r="G19" i="5"/>
  <c r="C20" i="5"/>
  <c r="F20" i="5"/>
  <c r="B18" i="5"/>
  <c r="F18" i="5"/>
  <c r="H18" i="5"/>
  <c r="F19" i="5"/>
  <c r="B20" i="5"/>
  <c r="E20" i="5"/>
  <c r="I20" i="5"/>
  <c r="B10" i="5"/>
  <c r="E10" i="5"/>
  <c r="G10" i="5"/>
  <c r="I10" i="5"/>
  <c r="C11" i="5"/>
  <c r="E11" i="5"/>
  <c r="G11" i="5"/>
  <c r="I11" i="5"/>
  <c r="C12" i="5"/>
  <c r="F12" i="5"/>
  <c r="H12" i="5"/>
  <c r="B13" i="5"/>
  <c r="D13" i="5"/>
  <c r="F13" i="5"/>
  <c r="H13" i="5"/>
  <c r="B14" i="5"/>
  <c r="D14" i="5"/>
  <c r="F14" i="5"/>
  <c r="I14" i="5"/>
  <c r="C15" i="5"/>
  <c r="E15" i="5"/>
  <c r="G15" i="5"/>
  <c r="I15" i="5"/>
  <c r="C16" i="5"/>
  <c r="E16" i="5"/>
  <c r="H16" i="5"/>
  <c r="B17" i="5"/>
  <c r="D17" i="5"/>
  <c r="F17" i="5"/>
  <c r="H17" i="5"/>
  <c r="C18" i="5"/>
  <c r="I18" i="5"/>
  <c r="E19" i="5"/>
  <c r="I19" i="5"/>
  <c r="D20" i="5"/>
  <c r="H20" i="5"/>
  <c r="D18" i="5"/>
  <c r="B19" i="5"/>
  <c r="D19" i="5"/>
  <c r="H19" i="5"/>
  <c r="G20" i="5"/>
  <c r="D12" i="14"/>
  <c r="C13" i="14"/>
  <c r="D13" i="14" s="1"/>
  <c r="E10" i="10"/>
  <c r="F10" i="10"/>
  <c r="B17" i="10"/>
  <c r="G10" i="10"/>
  <c r="G11" i="10" s="1"/>
  <c r="F11" i="10"/>
  <c r="F12" i="10" s="1"/>
  <c r="E11" i="10"/>
  <c r="B18" i="10"/>
  <c r="O8" i="6"/>
  <c r="I9" i="1" s="1"/>
  <c r="P8" i="6"/>
  <c r="J9" i="1" s="1"/>
  <c r="Q8" i="6"/>
  <c r="K9" i="1" s="1"/>
  <c r="N9" i="6"/>
  <c r="H10" i="1" s="1"/>
  <c r="O9" i="6"/>
  <c r="I10" i="1" s="1"/>
  <c r="P9" i="6"/>
  <c r="J10" i="1" s="1"/>
  <c r="Q9" i="6"/>
  <c r="K10" i="1" s="1"/>
  <c r="N12" i="6"/>
  <c r="H13" i="1" s="1"/>
  <c r="O14" i="6"/>
  <c r="Q14" i="6"/>
  <c r="N15" i="6"/>
  <c r="O15" i="6"/>
  <c r="P15" i="6"/>
  <c r="Q15" i="6"/>
  <c r="N10" i="6"/>
  <c r="H11" i="1" s="1"/>
  <c r="O10" i="6"/>
  <c r="I11" i="1" s="1"/>
  <c r="P10" i="6"/>
  <c r="J11" i="1" s="1"/>
  <c r="Q10" i="6"/>
  <c r="K11" i="1" s="1"/>
  <c r="N11" i="6"/>
  <c r="H12" i="1" s="1"/>
  <c r="O11" i="6"/>
  <c r="I12" i="1" s="1"/>
  <c r="P11" i="6"/>
  <c r="J12" i="1" s="1"/>
  <c r="Q11" i="6"/>
  <c r="K12" i="1" s="1"/>
  <c r="O12" i="6"/>
  <c r="I13" i="1" s="1"/>
  <c r="P12" i="6"/>
  <c r="J13" i="1" s="1"/>
  <c r="Q12" i="6"/>
  <c r="K13" i="1" s="1"/>
  <c r="N13" i="6"/>
  <c r="O13" i="6"/>
  <c r="P13" i="6"/>
  <c r="Q13" i="6"/>
  <c r="N14" i="6"/>
  <c r="P14" i="6"/>
  <c r="N16" i="6"/>
  <c r="O16" i="6"/>
  <c r="P16" i="6"/>
  <c r="Q16" i="6"/>
  <c r="N17" i="6"/>
  <c r="O17" i="6"/>
  <c r="Q17" i="6"/>
  <c r="P17" i="6"/>
  <c r="E3" i="6"/>
  <c r="B16" i="2" s="1"/>
  <c r="E4" i="6"/>
  <c r="B28" i="2" s="1"/>
  <c r="J4" i="7"/>
  <c r="I35" i="7"/>
  <c r="I36" i="7"/>
  <c r="B16" i="8"/>
  <c r="C16" i="8"/>
  <c r="F38" i="4"/>
  <c r="A39" i="4"/>
  <c r="K27" i="2"/>
  <c r="J28" i="2"/>
  <c r="B26" i="10"/>
  <c r="B27" i="10" s="1"/>
  <c r="B28" i="10" s="1"/>
  <c r="E24" i="4"/>
  <c r="C24" i="4"/>
  <c r="C15" i="4"/>
  <c r="B10" i="1" s="1"/>
  <c r="B15" i="4"/>
  <c r="B9" i="1" s="1"/>
  <c r="B15" i="1" s="1"/>
  <c r="D15" i="1" s="1"/>
  <c r="E15" i="1" s="1"/>
  <c r="D15" i="4"/>
  <c r="B11" i="1" s="1"/>
  <c r="E15" i="4"/>
  <c r="B12" i="1" s="1"/>
  <c r="B24" i="4"/>
  <c r="D24" i="4"/>
  <c r="C33" i="4"/>
  <c r="E33" i="4"/>
  <c r="G18" i="14"/>
  <c r="F18" i="14"/>
  <c r="G17" i="14"/>
  <c r="F17" i="14"/>
  <c r="C32" i="5"/>
  <c r="B21" i="5"/>
  <c r="G21" i="5"/>
  <c r="C22" i="5"/>
  <c r="G22" i="5"/>
  <c r="C23" i="5"/>
  <c r="H23" i="5"/>
  <c r="D24" i="5"/>
  <c r="H24" i="5"/>
  <c r="E25" i="5"/>
  <c r="I25" i="5"/>
  <c r="E26" i="5"/>
  <c r="D27" i="5"/>
  <c r="H27" i="5"/>
  <c r="D28" i="5"/>
  <c r="H28" i="5"/>
  <c r="D29" i="5"/>
  <c r="G29" i="5"/>
  <c r="C30" i="5"/>
  <c r="G30" i="5"/>
  <c r="C31" i="5"/>
  <c r="G31" i="5"/>
  <c r="B32" i="5"/>
  <c r="E32" i="5"/>
  <c r="G32" i="5"/>
  <c r="B33" i="5"/>
  <c r="D33" i="5"/>
  <c r="F33" i="5"/>
  <c r="H33" i="5"/>
  <c r="B34" i="5"/>
  <c r="D34" i="5"/>
  <c r="F34" i="5"/>
  <c r="H34" i="5"/>
  <c r="C21" i="5"/>
  <c r="E21" i="5"/>
  <c r="F21" i="5"/>
  <c r="H21" i="5"/>
  <c r="B22" i="5"/>
  <c r="D22" i="5"/>
  <c r="F22" i="5"/>
  <c r="H22" i="5"/>
  <c r="B23" i="5"/>
  <c r="D23" i="5"/>
  <c r="E23" i="5"/>
  <c r="G23" i="5"/>
  <c r="I23" i="5"/>
  <c r="C24" i="5"/>
  <c r="E24" i="5"/>
  <c r="G24" i="5"/>
  <c r="I24" i="5"/>
  <c r="B25" i="5"/>
  <c r="D25" i="5"/>
  <c r="F25" i="5"/>
  <c r="H25" i="5"/>
  <c r="B26" i="5"/>
  <c r="D26" i="5"/>
  <c r="F26" i="5"/>
  <c r="G26" i="5"/>
  <c r="B27" i="5"/>
  <c r="C27" i="5"/>
  <c r="E27" i="5"/>
  <c r="G27" i="5"/>
  <c r="I27" i="5"/>
  <c r="C28" i="5"/>
  <c r="E28" i="5"/>
  <c r="G28" i="5"/>
  <c r="I28" i="5"/>
  <c r="C29" i="5"/>
  <c r="F29" i="5"/>
  <c r="H29" i="5"/>
  <c r="B30" i="5"/>
  <c r="D30" i="5"/>
  <c r="F30" i="5"/>
  <c r="H30" i="5"/>
  <c r="B31" i="5"/>
  <c r="D31" i="5"/>
  <c r="F31" i="5"/>
  <c r="H31" i="5"/>
  <c r="D21" i="5"/>
  <c r="I21" i="5"/>
  <c r="E22" i="5"/>
  <c r="I22" i="5"/>
  <c r="F23" i="5"/>
  <c r="B24" i="5"/>
  <c r="F24" i="5"/>
  <c r="C25" i="5"/>
  <c r="G25" i="5"/>
  <c r="C26" i="5"/>
  <c r="H26" i="5"/>
  <c r="I26" i="5"/>
  <c r="F27" i="5"/>
  <c r="B28" i="5"/>
  <c r="F28" i="5"/>
  <c r="B29" i="5"/>
  <c r="E29" i="5"/>
  <c r="I29" i="5"/>
  <c r="E30" i="5"/>
  <c r="I30" i="5"/>
  <c r="E31" i="5"/>
  <c r="I31" i="5"/>
  <c r="D32" i="5"/>
  <c r="F32" i="5"/>
  <c r="H32" i="5"/>
  <c r="I32" i="5"/>
  <c r="C33" i="5"/>
  <c r="E33" i="5"/>
  <c r="G33" i="5"/>
  <c r="I33" i="5"/>
  <c r="C34" i="5"/>
  <c r="E34" i="5"/>
  <c r="G34" i="5"/>
  <c r="I34" i="5"/>
  <c r="B23" i="2" l="1"/>
  <c r="F13" i="10"/>
  <c r="B17" i="2"/>
  <c r="H9" i="1"/>
  <c r="K26" i="7"/>
  <c r="K22" i="7"/>
  <c r="K29" i="7"/>
  <c r="K23" i="7"/>
  <c r="K24" i="7"/>
  <c r="K27" i="7"/>
  <c r="K30" i="7"/>
  <c r="K33" i="7"/>
  <c r="K32" i="7"/>
  <c r="K6" i="7"/>
  <c r="K13" i="7"/>
  <c r="K19" i="7"/>
  <c r="K5" i="7"/>
  <c r="K7" i="7"/>
  <c r="K12" i="7"/>
  <c r="K17" i="7"/>
  <c r="K18" i="7"/>
  <c r="K21" i="7"/>
  <c r="K8" i="7"/>
  <c r="K4" i="7"/>
  <c r="D39" i="4"/>
  <c r="B39" i="4"/>
  <c r="C39" i="4"/>
  <c r="E39" i="4"/>
  <c r="A40" i="4"/>
  <c r="F39" i="4"/>
  <c r="J29" i="2"/>
  <c r="K28" i="2"/>
  <c r="B18" i="1"/>
  <c r="D18" i="1" s="1"/>
  <c r="E18" i="1" s="1"/>
  <c r="B17" i="1"/>
  <c r="D17" i="1" s="1"/>
  <c r="E17" i="1" s="1"/>
  <c r="B16" i="1"/>
  <c r="D16" i="1" s="1"/>
  <c r="E16" i="1" s="1"/>
  <c r="E12" i="14"/>
  <c r="F12" i="14" s="1"/>
  <c r="B20" i="2" s="1"/>
  <c r="G12" i="10"/>
  <c r="G13" i="10"/>
  <c r="E13" i="10"/>
  <c r="E12" i="10"/>
  <c r="B20" i="10"/>
  <c r="B19" i="10"/>
  <c r="L4" i="7" l="1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C40" i="4"/>
  <c r="E40" i="4"/>
  <c r="B40" i="4"/>
  <c r="D40" i="4"/>
  <c r="A41" i="4"/>
  <c r="F40" i="4"/>
  <c r="K29" i="2"/>
  <c r="J30" i="2"/>
  <c r="C41" i="4" l="1"/>
  <c r="D41" i="4"/>
  <c r="E41" i="4"/>
  <c r="B41" i="4"/>
  <c r="A42" i="4"/>
  <c r="F41" i="4"/>
  <c r="K30" i="2"/>
  <c r="J31" i="2"/>
  <c r="C42" i="4" l="1"/>
  <c r="E42" i="4"/>
  <c r="B42" i="4"/>
  <c r="D42" i="4"/>
  <c r="A43" i="4"/>
  <c r="F42" i="4"/>
  <c r="K31" i="2"/>
  <c r="J32" i="2"/>
  <c r="E43" i="4" l="1"/>
  <c r="C43" i="4"/>
  <c r="B43" i="4"/>
  <c r="D43" i="4"/>
  <c r="A44" i="4"/>
  <c r="F43" i="4"/>
  <c r="K32" i="2"/>
  <c r="J33" i="2"/>
  <c r="C44" i="4" l="1"/>
  <c r="B44" i="4"/>
  <c r="D44" i="4"/>
  <c r="E44" i="4"/>
  <c r="A45" i="4"/>
  <c r="F44" i="4"/>
  <c r="K33" i="2"/>
  <c r="J34" i="2"/>
  <c r="B45" i="4" l="1"/>
  <c r="D45" i="4"/>
  <c r="E45" i="4"/>
  <c r="C45" i="4"/>
  <c r="A46" i="4"/>
  <c r="F45" i="4"/>
  <c r="K34" i="2"/>
  <c r="J35" i="2"/>
  <c r="B46" i="4" l="1"/>
  <c r="E46" i="4"/>
  <c r="D46" i="4"/>
  <c r="C46" i="4"/>
  <c r="F46" i="4"/>
  <c r="A47" i="4"/>
  <c r="K35" i="2"/>
  <c r="J36" i="2"/>
  <c r="B47" i="4" l="1"/>
  <c r="E47" i="4"/>
  <c r="C47" i="4"/>
  <c r="D47" i="4"/>
  <c r="A48" i="4"/>
  <c r="F47" i="4"/>
  <c r="K36" i="2"/>
  <c r="J37" i="2"/>
  <c r="K37" i="2" s="1"/>
  <c r="B13" i="2" s="1"/>
  <c r="E48" i="4" l="1"/>
  <c r="E49" i="4" s="1"/>
  <c r="C48" i="4"/>
  <c r="C49" i="4" s="1"/>
  <c r="D48" i="4"/>
  <c r="D49" i="4" s="1"/>
  <c r="B48" i="4"/>
  <c r="B49" i="4" s="1"/>
  <c r="F48" i="4"/>
  <c r="B20" i="9"/>
  <c r="B21" i="9"/>
  <c r="B19" i="9"/>
</calcChain>
</file>

<file path=xl/sharedStrings.xml><?xml version="1.0" encoding="utf-8"?>
<sst xmlns="http://schemas.openxmlformats.org/spreadsheetml/2006/main" count="1994" uniqueCount="692">
  <si>
    <t>Customer Transactions Dashboard</t>
  </si>
  <si>
    <t>Region (slicer)</t>
  </si>
  <si>
    <t>All</t>
  </si>
  <si>
    <t>◄ Slicer-style drop-downs and date range drive every KPI, table and chart (see HowTo for native Slicers/Timeline).</t>
  </si>
  <si>
    <t>Product (slicer)</t>
  </si>
  <si>
    <t>From date (timeline)</t>
  </si>
  <si>
    <t>To date (timeline)</t>
  </si>
  <si>
    <t>Top 5 Customers (all time)</t>
  </si>
  <si>
    <t>VOLUME KPIs</t>
  </si>
  <si>
    <t>Value</t>
  </si>
  <si>
    <t>#</t>
  </si>
  <si>
    <t>Customer</t>
  </si>
  <si>
    <t>Sales (₹)</t>
  </si>
  <si>
    <t>Profit (₹)</t>
  </si>
  <si>
    <t>Txns</t>
  </si>
  <si>
    <t>Total Sales</t>
  </si>
  <si>
    <t>Total Profit</t>
  </si>
  <si>
    <t>Transactions</t>
  </si>
  <si>
    <t>Units Sold</t>
  </si>
  <si>
    <t>PERFORMANCE KPI</t>
  </si>
  <si>
    <t>Actual</t>
  </si>
  <si>
    <t>Target</t>
  </si>
  <si>
    <t>Variance</t>
  </si>
  <si>
    <t>Status</t>
  </si>
  <si>
    <t>Profit Margin</t>
  </si>
  <si>
    <t>Avg Transaction Value</t>
  </si>
  <si>
    <t>Avg Profit / Transaction</t>
  </si>
  <si>
    <t>Avg Units / Transaction</t>
  </si>
  <si>
    <t>Customer Transaction Analysis: Final Report</t>
  </si>
  <si>
    <t>Insight engine (supporting calculations)</t>
  </si>
  <si>
    <t>1. The big picture</t>
  </si>
  <si>
    <t>Product</t>
  </si>
  <si>
    <t>Sales</t>
  </si>
  <si>
    <t>Profit</t>
  </si>
  <si>
    <t>Margin</t>
  </si>
  <si>
    <t>Laptop</t>
  </si>
  <si>
    <t>Smartphone</t>
  </si>
  <si>
    <t>2. Products: revenue vs margin</t>
  </si>
  <si>
    <t>Monitor</t>
  </si>
  <si>
    <t>Tablet</t>
  </si>
  <si>
    <t>Smartwatch</t>
  </si>
  <si>
    <t>Printer</t>
  </si>
  <si>
    <t>3. Regions and timing</t>
  </si>
  <si>
    <t>Headphones</t>
  </si>
  <si>
    <t>Webcam</t>
  </si>
  <si>
    <t>Keyboard</t>
  </si>
  <si>
    <t>Mouse</t>
  </si>
  <si>
    <t>4. Customers</t>
  </si>
  <si>
    <t>Region</t>
  </si>
  <si>
    <t>North</t>
  </si>
  <si>
    <t>5. What drives profit (regression)</t>
  </si>
  <si>
    <t>South</t>
  </si>
  <si>
    <t>East</t>
  </si>
  <si>
    <t>West</t>
  </si>
  <si>
    <t>6. What-if outlook</t>
  </si>
  <si>
    <t>Central</t>
  </si>
  <si>
    <t>7. Recommendations (based on the data as delivered)</t>
  </si>
  <si>
    <t>Month</t>
  </si>
  <si>
    <t>• Protect margin on high-revenue, low-margin lines. Smartphones and Tablets bring in large revenue but earn the thinnest margins (about 12%), so discount discipline there pays off quickly.</t>
  </si>
  <si>
    <t>• Bundle high-margin accessories (Keyboards, Mice, Headphones earn 26–29%) with Laptops and Monitors to raise margin per order without needing more customers.</t>
  </si>
  <si>
    <t>• Lift the weakest region with targeted campaigns, and plan stock and promotions around the March peak and the September dip.</t>
  </si>
  <si>
    <t>8. Method</t>
  </si>
  <si>
    <t>Data: 250 transactions (Final Project Dataset sheet). Analysis uses SUMIFS/COUNTIFS pivot-style tables, INDEX/MATCH multi-value filtering, DATEDIF/EOMONTH date logic, and LINEST-equivalent regression formulas. Dashboard filters (drop-downs and date range) work like Slicers and a Timeline; see HowTo for the native Excel versions.</t>
  </si>
  <si>
    <t>Payment</t>
  </si>
  <si>
    <t>Credit Card</t>
  </si>
  <si>
    <t>Debit Card</t>
  </si>
  <si>
    <t>UPI</t>
  </si>
  <si>
    <t>Cash</t>
  </si>
  <si>
    <t>Net Banking</t>
  </si>
  <si>
    <t>transaction_id</t>
  </si>
  <si>
    <t>date</t>
  </si>
  <si>
    <t>product</t>
  </si>
  <si>
    <t>quantity</t>
  </si>
  <si>
    <t>unit_price</t>
  </si>
  <si>
    <t>sales</t>
  </si>
  <si>
    <t>region</t>
  </si>
  <si>
    <t>profit</t>
  </si>
  <si>
    <t>customer_id</t>
  </si>
  <si>
    <t>payment_method</t>
  </si>
  <si>
    <t>customer_name</t>
  </si>
  <si>
    <t>Month End (EOMONTH)</t>
  </si>
  <si>
    <t>Months Ago (DATEDIF)</t>
  </si>
  <si>
    <t>Days Ago (TODAY)</t>
  </si>
  <si>
    <t>Customer Type</t>
  </si>
  <si>
    <t>Txn Code</t>
  </si>
  <si>
    <t>Initials</t>
  </si>
  <si>
    <t>Filter Flag</t>
  </si>
  <si>
    <t>Filter Match #</t>
  </si>
  <si>
    <t>T0001</t>
  </si>
  <si>
    <t>C042</t>
  </si>
  <si>
    <t>Priya Sharma</t>
  </si>
  <si>
    <t>T0002</t>
  </si>
  <si>
    <t>C055</t>
  </si>
  <si>
    <t>Pooja Iyer</t>
  </si>
  <si>
    <t>T0003</t>
  </si>
  <si>
    <t>C019</t>
  </si>
  <si>
    <t>Aditya Trivedi</t>
  </si>
  <si>
    <t>T0004</t>
  </si>
  <si>
    <t>C053</t>
  </si>
  <si>
    <t>Manish Nair</t>
  </si>
  <si>
    <t>T0005</t>
  </si>
  <si>
    <t>C074</t>
  </si>
  <si>
    <t>Anjali Bhatt</t>
  </si>
  <si>
    <t>T0006</t>
  </si>
  <si>
    <t>C043</t>
  </si>
  <si>
    <t>Amit Trivedi</t>
  </si>
  <si>
    <t>T0007</t>
  </si>
  <si>
    <t>C013</t>
  </si>
  <si>
    <t>Vihaan Mehta</t>
  </si>
  <si>
    <t>T0008</t>
  </si>
  <si>
    <t>C006</t>
  </si>
  <si>
    <t>Riya Shah</t>
  </si>
  <si>
    <t>T0009</t>
  </si>
  <si>
    <t>C010</t>
  </si>
  <si>
    <t>Vihaan Bhatt</t>
  </si>
  <si>
    <t>T0010</t>
  </si>
  <si>
    <t>C029</t>
  </si>
  <si>
    <t>Vihaan Iyer</t>
  </si>
  <si>
    <t>T0011</t>
  </si>
  <si>
    <t>C069</t>
  </si>
  <si>
    <t>Aditya Reddy</t>
  </si>
  <si>
    <t>T0012</t>
  </si>
  <si>
    <t>T0013</t>
  </si>
  <si>
    <t>C054</t>
  </si>
  <si>
    <t>Amit Iyer</t>
  </si>
  <si>
    <t>T0014</t>
  </si>
  <si>
    <t>C032</t>
  </si>
  <si>
    <t>Riya Bhatt</t>
  </si>
  <si>
    <t>T0015</t>
  </si>
  <si>
    <t>C062</t>
  </si>
  <si>
    <t>Rahul Chauhan</t>
  </si>
  <si>
    <t>T0016</t>
  </si>
  <si>
    <t>C020</t>
  </si>
  <si>
    <t>Riya Reddy</t>
  </si>
  <si>
    <t>T0017</t>
  </si>
  <si>
    <t>C067</t>
  </si>
  <si>
    <t>Sneha Mehta</t>
  </si>
  <si>
    <t>T0018</t>
  </si>
  <si>
    <t>C011</t>
  </si>
  <si>
    <t>Nikhil Mehta</t>
  </si>
  <si>
    <t>T0019</t>
  </si>
  <si>
    <t>C052</t>
  </si>
  <si>
    <t>Manish Trivedi</t>
  </si>
  <si>
    <t>T0020</t>
  </si>
  <si>
    <t>C008</t>
  </si>
  <si>
    <t>Amit Singh</t>
  </si>
  <si>
    <t>T0021</t>
  </si>
  <si>
    <t>T0022</t>
  </si>
  <si>
    <t>C070</t>
  </si>
  <si>
    <t>Kavya Patel</t>
  </si>
  <si>
    <t>T0023</t>
  </si>
  <si>
    <t>C017</t>
  </si>
  <si>
    <t>Aditya Mehta</t>
  </si>
  <si>
    <t>T0024</t>
  </si>
  <si>
    <t>T0025</t>
  </si>
  <si>
    <t>C018</t>
  </si>
  <si>
    <t>Anjali Singh</t>
  </si>
  <si>
    <t>T0026</t>
  </si>
  <si>
    <t>C057</t>
  </si>
  <si>
    <t>Riya Iyer</t>
  </si>
  <si>
    <t>T0027</t>
  </si>
  <si>
    <t>T0028</t>
  </si>
  <si>
    <t>C015</t>
  </si>
  <si>
    <t>Ishita Trivedi</t>
  </si>
  <si>
    <t>T0029</t>
  </si>
  <si>
    <t>C028</t>
  </si>
  <si>
    <t>Kavya Singh</t>
  </si>
  <si>
    <t>T0030</t>
  </si>
  <si>
    <t>T0031</t>
  </si>
  <si>
    <t>T0032</t>
  </si>
  <si>
    <t>T0033</t>
  </si>
  <si>
    <t>C022</t>
  </si>
  <si>
    <t>Vihaan Trivedi</t>
  </si>
  <si>
    <t>T0034</t>
  </si>
  <si>
    <t>T0035</t>
  </si>
  <si>
    <t>C012</t>
  </si>
  <si>
    <t>Priya Bhatt</t>
  </si>
  <si>
    <t>T0036</t>
  </si>
  <si>
    <t>T0037</t>
  </si>
  <si>
    <t>T0038</t>
  </si>
  <si>
    <t>T0039</t>
  </si>
  <si>
    <t>C075</t>
  </si>
  <si>
    <t>Nikhil Desai</t>
  </si>
  <si>
    <t>T0040</t>
  </si>
  <si>
    <t>C035</t>
  </si>
  <si>
    <t>Meera Sharma</t>
  </si>
  <si>
    <t>T0041</t>
  </si>
  <si>
    <t>C024</t>
  </si>
  <si>
    <t>Rohan Chauhan</t>
  </si>
  <si>
    <t>T0042</t>
  </si>
  <si>
    <t>C064</t>
  </si>
  <si>
    <t>Pooja Mehta</t>
  </si>
  <si>
    <t>T0043</t>
  </si>
  <si>
    <t>T0044</t>
  </si>
  <si>
    <t>T0045</t>
  </si>
  <si>
    <t>C014</t>
  </si>
  <si>
    <t>Aditya Kapoor</t>
  </si>
  <si>
    <t>T0046</t>
  </si>
  <si>
    <t>C080</t>
  </si>
  <si>
    <t>Sneha Trivedi</t>
  </si>
  <si>
    <t>T0047</t>
  </si>
  <si>
    <t>T0048</t>
  </si>
  <si>
    <t>T0049</t>
  </si>
  <si>
    <t>T0050</t>
  </si>
  <si>
    <t>C059</t>
  </si>
  <si>
    <t>Aditya Iyer</t>
  </si>
  <si>
    <t>T0051</t>
  </si>
  <si>
    <t>C038</t>
  </si>
  <si>
    <t>Rohan Kapoor</t>
  </si>
  <si>
    <t>T0052</t>
  </si>
  <si>
    <t>T0053</t>
  </si>
  <si>
    <t>C036</t>
  </si>
  <si>
    <t>Karan Iyer</t>
  </si>
  <si>
    <t>T0054</t>
  </si>
  <si>
    <t>C058</t>
  </si>
  <si>
    <t>Anjali Kapoor</t>
  </si>
  <si>
    <t>T0055</t>
  </si>
  <si>
    <t>T0056</t>
  </si>
  <si>
    <t>T0057</t>
  </si>
  <si>
    <t>C001</t>
  </si>
  <si>
    <t>Rahul Joshi</t>
  </si>
  <si>
    <t>T0058</t>
  </si>
  <si>
    <t>C005</t>
  </si>
  <si>
    <t>Aditya Joshi</t>
  </si>
  <si>
    <t>T0059</t>
  </si>
  <si>
    <t>C078</t>
  </si>
  <si>
    <t>Meera Mehta</t>
  </si>
  <si>
    <t>T0060</t>
  </si>
  <si>
    <t>T0061</t>
  </si>
  <si>
    <t>T0062</t>
  </si>
  <si>
    <t>C061</t>
  </si>
  <si>
    <t>Divya Bhatt</t>
  </si>
  <si>
    <t>T0063</t>
  </si>
  <si>
    <t>T0064</t>
  </si>
  <si>
    <t>T0065</t>
  </si>
  <si>
    <t>C037</t>
  </si>
  <si>
    <t>Riya Desai</t>
  </si>
  <si>
    <t>T0066</t>
  </si>
  <si>
    <t>C073</t>
  </si>
  <si>
    <t>Nikhil Bhatt</t>
  </si>
  <si>
    <t>T0067</t>
  </si>
  <si>
    <t>C079</t>
  </si>
  <si>
    <t>Kavya Mehta</t>
  </si>
  <si>
    <t>T0068</t>
  </si>
  <si>
    <t>C007</t>
  </si>
  <si>
    <t>Rohan Sharma</t>
  </si>
  <si>
    <t>T0069</t>
  </si>
  <si>
    <t>T0070</t>
  </si>
  <si>
    <t>C034</t>
  </si>
  <si>
    <t>Pooja Desai</t>
  </si>
  <si>
    <t>T0071</t>
  </si>
  <si>
    <t>C056</t>
  </si>
  <si>
    <t>Anjali Chauhan</t>
  </si>
  <si>
    <t>T0072</t>
  </si>
  <si>
    <t>T0073</t>
  </si>
  <si>
    <t>C065</t>
  </si>
  <si>
    <t>Meera Singh</t>
  </si>
  <si>
    <t>T0074</t>
  </si>
  <si>
    <t>T0075</t>
  </si>
  <si>
    <t>T0076</t>
  </si>
  <si>
    <t>C033</t>
  </si>
  <si>
    <t>Karan Desai</t>
  </si>
  <si>
    <t>T0077</t>
  </si>
  <si>
    <t>C063</t>
  </si>
  <si>
    <t>Manish Joshi</t>
  </si>
  <si>
    <t>T0078</t>
  </si>
  <si>
    <t>C025</t>
  </si>
  <si>
    <t>Anjali Shah</t>
  </si>
  <si>
    <t>T0079</t>
  </si>
  <si>
    <t>T0080</t>
  </si>
  <si>
    <t>C049</t>
  </si>
  <si>
    <t>Riya Sharma</t>
  </si>
  <si>
    <t>T0081</t>
  </si>
  <si>
    <t>C004</t>
  </si>
  <si>
    <t>Vihaan Nair</t>
  </si>
  <si>
    <t>T0082</t>
  </si>
  <si>
    <t>T0083</t>
  </si>
  <si>
    <t>C050</t>
  </si>
  <si>
    <t>Ishita Reddy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</si>
  <si>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</si>
  <si>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</si>
  <si>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</si>
  <si>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</si>
  <si>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</si>
  <si>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</si>
  <si>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</si>
  <si>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</si>
  <si>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C023</t>
  </si>
  <si>
    <t>Sanjay Patel</t>
  </si>
  <si>
    <t>T0092</t>
  </si>
  <si>
    <t>T0093</t>
  </si>
  <si>
    <t>T0094</t>
  </si>
  <si>
    <t>T0095</t>
  </si>
  <si>
    <t>T0096</t>
  </si>
  <si>
    <t>T0097</t>
  </si>
  <si>
    <t>C076</t>
  </si>
  <si>
    <t>Aarav Reddy</t>
  </si>
  <si>
    <t>T0098</t>
  </si>
  <si>
    <t>C030</t>
  </si>
  <si>
    <t>Anjali Patel</t>
  </si>
  <si>
    <t>T0099</t>
  </si>
  <si>
    <t>C021</t>
  </si>
  <si>
    <t>Ishita Iyer</t>
  </si>
  <si>
    <t>T0100</t>
  </si>
  <si>
    <t>T0101</t>
  </si>
  <si>
    <t>T0102</t>
  </si>
  <si>
    <t>T0103</t>
  </si>
  <si>
    <t>T0104</t>
  </si>
  <si>
    <t>T0105</t>
  </si>
  <si>
    <t>C048</t>
  </si>
  <si>
    <t>Divya Trivedi</t>
  </si>
  <si>
    <t>T0106</t>
  </si>
  <si>
    <t>T0107</t>
  </si>
  <si>
    <t>T0108</t>
  </si>
  <si>
    <t>C009</t>
  </si>
  <si>
    <t>Sanjay Reddy</t>
  </si>
  <si>
    <t>T0109</t>
  </si>
  <si>
    <t>C077</t>
  </si>
  <si>
    <t>Rahul Singh</t>
  </si>
  <si>
    <t>T0110</t>
  </si>
  <si>
    <t>T0111</t>
  </si>
  <si>
    <t>C041</t>
  </si>
  <si>
    <t>Rohan Desai</t>
  </si>
  <si>
    <t>T0112</t>
  </si>
  <si>
    <t>T0113</t>
  </si>
  <si>
    <t>T0114</t>
  </si>
  <si>
    <t>T0115</t>
  </si>
  <si>
    <t>T0116</t>
  </si>
  <si>
    <t>C071</t>
  </si>
  <si>
    <t>Neha Gupta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</si>
  <si>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</si>
  <si>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</si>
  <si>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</si>
  <si>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</si>
  <si>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</si>
  <si>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</si>
  <si>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</si>
  <si>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</si>
  <si>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</si>
  <si>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C046</t>
  </si>
  <si>
    <t>Meera Gupta</t>
  </si>
  <si>
    <t>T0126</t>
  </si>
  <si>
    <t>T0127</t>
  </si>
  <si>
    <t>C047</t>
  </si>
  <si>
    <t>Priya Iyer</t>
  </si>
  <si>
    <t>T0128</t>
  </si>
  <si>
    <t>C026</t>
  </si>
  <si>
    <t>Vihaan Chauhan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</si>
  <si>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</si>
  <si>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</si>
  <si>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</si>
  <si>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</si>
  <si>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</si>
  <si>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</si>
  <si>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</si>
  <si>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</si>
  <si>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C060</t>
  </si>
  <si>
    <t>Nikhil Reddy</t>
  </si>
  <si>
    <t>T0137</t>
  </si>
  <si>
    <t>T0138</t>
  </si>
  <si>
    <t>T0139</t>
  </si>
  <si>
    <t>T0140</t>
  </si>
  <si>
    <t>T0141</t>
  </si>
  <si>
    <t>C003</t>
  </si>
  <si>
    <t>Kavya Reddy</t>
  </si>
  <si>
    <t>T0142</t>
  </si>
  <si>
    <t>T0143</t>
  </si>
  <si>
    <t>T0144</t>
  </si>
  <si>
    <t>T0145</t>
  </si>
  <si>
    <t>T0146</t>
  </si>
  <si>
    <t>T0147</t>
  </si>
  <si>
    <t>T0148</t>
  </si>
  <si>
    <t>C051</t>
  </si>
  <si>
    <t>Rahul Sharma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</si>
  <si>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</si>
  <si>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</si>
  <si>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</si>
  <si>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</si>
  <si>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</si>
  <si>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</si>
  <si>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</si>
  <si>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</si>
  <si>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</si>
  <si>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</si>
  <si>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C066</t>
  </si>
  <si>
    <t>Riya Singh</t>
  </si>
  <si>
    <t>T0159</t>
  </si>
  <si>
    <t>T0160</t>
  </si>
  <si>
    <t>T0161</t>
  </si>
  <si>
    <t>T0162</t>
  </si>
  <si>
    <t>T0163</t>
  </si>
  <si>
    <t>T0164</t>
  </si>
  <si>
    <t>T0165</t>
  </si>
  <si>
    <t>C044</t>
  </si>
  <si>
    <t>Rohan Patel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</si>
  <si>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</si>
  <si>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</si>
  <si>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</si>
  <si>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</si>
  <si>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</si>
  <si>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</si>
  <si>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</si>
  <si>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</si>
  <si>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</si>
  <si>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</si>
  <si>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</si>
  <si>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</si>
  <si>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</si>
  <si>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C045</t>
  </si>
  <si>
    <t>Aditya Sharma</t>
  </si>
  <si>
    <t>T0179</t>
  </si>
  <si>
    <t>T0180</t>
  </si>
  <si>
    <t>T0181</t>
  </si>
  <si>
    <t>T0182</t>
  </si>
  <si>
    <t>C031</t>
  </si>
  <si>
    <t>Vihaan Gupta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</si>
  <si>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</si>
  <si>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</si>
  <si>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</si>
  <si>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</si>
  <si>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</si>
  <si>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</si>
  <si>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</si>
  <si>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</si>
  <si>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</si>
  <si>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</si>
  <si>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</si>
  <si>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</si>
  <si>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</si>
  <si>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</si>
  <si>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</si>
  <si>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</si>
  <si>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</si>
  <si>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</si>
  <si>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</si>
  <si>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</si>
  <si>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</si>
  <si>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C040</t>
  </si>
  <si>
    <t>Neha Kapoor</t>
  </si>
  <si>
    <t>T0204</t>
  </si>
  <si>
    <t>T0205</t>
  </si>
  <si>
    <t>T0206</t>
  </si>
  <si>
    <t>T0207</t>
  </si>
  <si>
    <t>C072</t>
  </si>
  <si>
    <t>Aditya Verma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</si>
  <si>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</si>
  <si>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</si>
  <si>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</si>
  <si>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</si>
  <si>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</si>
  <si>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</si>
  <si>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</si>
  <si>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</si>
  <si>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</si>
  <si>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</si>
  <si>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</si>
  <si>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</si>
  <si>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C068</t>
  </si>
  <si>
    <t>Priya Singh</t>
  </si>
  <si>
    <t>T0220</t>
  </si>
  <si>
    <t>C039</t>
  </si>
  <si>
    <t>Pooja Bhatt</t>
  </si>
  <si>
    <t>T0221</t>
  </si>
  <si>
    <t>T0222</t>
  </si>
  <si>
    <t>T0223</t>
  </si>
  <si>
    <t>T0224</t>
  </si>
  <si>
    <t>T0225</t>
  </si>
  <si>
    <t>T0226</t>
  </si>
  <si>
    <t>T0227</t>
  </si>
  <si>
    <t>C002</t>
  </si>
  <si>
    <t>Karan Bhatt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</si>
  <si>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</si>
  <si>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</si>
  <si>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</si>
  <si>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</si>
  <si>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</si>
  <si>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</si>
  <si>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</si>
  <si>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</si>
  <si>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</si>
  <si>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</si>
  <si>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</si>
  <si>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</si>
  <si>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</si>
  <si>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C016</t>
  </si>
  <si>
    <t>Ishita Verma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</si>
  <si>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</si>
  <si>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</si>
  <si>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</si>
  <si>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</si>
  <si>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</si>
  <si>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</si>
  <si>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</si>
  <si>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</si>
  <si>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</si>
  <si>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</si>
  <si>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Pivot-Style Summary Tables (SUMIFS / COUNTIFS)</t>
  </si>
  <si>
    <t>Filter criteria (from Dashboard)</t>
  </si>
  <si>
    <t>Responds to the filters on the Dashboard. Source for all dashboard charts.</t>
  </si>
  <si>
    <t>By Product</t>
  </si>
  <si>
    <t>Units</t>
  </si>
  <si>
    <t>From</t>
  </si>
  <si>
    <t>To</t>
  </si>
  <si>
    <t>Grand Total</t>
  </si>
  <si>
    <t>By Region</t>
  </si>
  <si>
    <t>By Payment Method</t>
  </si>
  <si>
    <t>Payment Method</t>
  </si>
  <si>
    <t>By Month (timeline)</t>
  </si>
  <si>
    <t>Label</t>
  </si>
  <si>
    <t>Multi-Value Return (FILTER-style)</t>
  </si>
  <si>
    <t>Pick criteria; matching rows are returned below. Built with helper columns + INDEX/MATCH so it works in every Excel version.</t>
  </si>
  <si>
    <t>Excel 365 equivalent (one formula, spills automatically):</t>
  </si>
  <si>
    <t>FILTER(Data[A2:K251], (Data[Region]=B3)*(Data[Product]=B4)*(Data[Sales]&gt;=B5), "No match")</t>
  </si>
  <si>
    <t>Min sales (₹)</t>
  </si>
  <si>
    <t>Showing the first 25 matches below.</t>
  </si>
  <si>
    <t>Matching rows</t>
  </si>
  <si>
    <t>Txn ID</t>
  </si>
  <si>
    <t>Date</t>
  </si>
  <si>
    <t>Qty</t>
  </si>
  <si>
    <t>High-Value Customers (GroupBy with SUMIF / COUNTIF)</t>
  </si>
  <si>
    <t>One row per customer ID; every figure is a formula over the dataset.</t>
  </si>
  <si>
    <t>High-value percentile</t>
  </si>
  <si>
    <t>High-value customers</t>
  </si>
  <si>
    <t>Sales threshold (₹)</t>
  </si>
  <si>
    <t>Share of total sales</t>
  </si>
  <si>
    <t>Top 10 Customers</t>
  </si>
  <si>
    <t>Customer ID</t>
  </si>
  <si>
    <t>Customer Name</t>
  </si>
  <si>
    <t>Total Sales (₹)</t>
  </si>
  <si>
    <t>Total Profit (₹)</t>
  </si>
  <si>
    <t>Avg Sale (₹)</t>
  </si>
  <si>
    <t>Last Purchase</t>
  </si>
  <si>
    <t>Days Since (TODAY)</t>
  </si>
  <si>
    <t>Rank</t>
  </si>
  <si>
    <t>Tier</t>
  </si>
  <si>
    <t>Rank Key</t>
  </si>
  <si>
    <t>Frequency Analysis &amp; List Comparison</t>
  </si>
  <si>
    <t>Compare two lists: Mailing List (A) vs Customer Names (B)</t>
  </si>
  <si>
    <t>Times Purchased</t>
  </si>
  <si>
    <t>Share of Txns</t>
  </si>
  <si>
    <t>Top flag</t>
  </si>
  <si>
    <t>Mailing List (A)</t>
  </si>
  <si>
    <t>In Customers? (B)</t>
  </si>
  <si>
    <t>Matched Name</t>
  </si>
  <si>
    <t>Extract #</t>
  </si>
  <si>
    <t>Extracted Matches</t>
  </si>
  <si>
    <t>Neha Iyer</t>
  </si>
  <si>
    <t>Nikhil Iyer</t>
  </si>
  <si>
    <t>Amit Patel</t>
  </si>
  <si>
    <t>Divya Reddy</t>
  </si>
  <si>
    <t>Most frequently purchased product</t>
  </si>
  <si>
    <t>Pooja Shah</t>
  </si>
  <si>
    <t>Purchased (transactions)</t>
  </si>
  <si>
    <t>Pooja Nair</t>
  </si>
  <si>
    <t>Top product by units sold</t>
  </si>
  <si>
    <t>Customers who bought more than once</t>
  </si>
  <si>
    <t>Most frequent customer (repeating name)</t>
  </si>
  <si>
    <t>Meera Bhatt</t>
  </si>
  <si>
    <t>Their number of purchases</t>
  </si>
  <si>
    <t>Repeat share of transactions</t>
  </si>
  <si>
    <t>Manish Sharma</t>
  </si>
  <si>
    <t>Ishita Patel</t>
  </si>
  <si>
    <t>Neha Sharma</t>
  </si>
  <si>
    <t>Matches found</t>
  </si>
  <si>
    <t>Not in customer list</t>
  </si>
  <si>
    <t>Abbreviations with TEXT Functions</t>
  </si>
  <si>
    <t>LEFT, MID, FIND, UPPER, LOWER, PROPER, LEN, TEXT, concatenation</t>
  </si>
  <si>
    <t>3-Letter Code</t>
  </si>
  <si>
    <t>Short Label</t>
  </si>
  <si>
    <t>Name Length</t>
  </si>
  <si>
    <t>Initials (acronym)</t>
  </si>
  <si>
    <t>Region Code</t>
  </si>
  <si>
    <t>Display Name</t>
  </si>
  <si>
    <t>Txn Code (sample)</t>
  </si>
  <si>
    <t>Txn Code format: PRODUCT(3 letters) - MMYY - SALES(5 digits), e.g. =UPPER(LEFT(C2,3))&amp;"-"&amp;TEXT(B2,"MMYY")&amp;"-"&amp;TEXT(F2,"00000")</t>
  </si>
  <si>
    <t>Date &amp; Time Functions</t>
  </si>
  <si>
    <t>TODAY, NOW, DATEDIF, EOMONTH, timestamp with iterative calculation</t>
  </si>
  <si>
    <t>TODAY()</t>
  </si>
  <si>
    <t>NOW()</t>
  </si>
  <si>
    <t>First transaction date</t>
  </si>
  <si>
    <t>Last transaction date</t>
  </si>
  <si>
    <t>Dataset span  (DATEDIF y / ym / md)</t>
  </si>
  <si>
    <t>Time since last transaction (DATEDIF)</t>
  </si>
  <si>
    <t>Month-end of last transaction (EOMONTH 0)</t>
  </si>
  <si>
    <t>Previous month-end (EOMONTH -1)</t>
  </si>
  <si>
    <t>Next month-end (EOMONTH +1)</t>
  </si>
  <si>
    <t>Days left in current month</t>
  </si>
  <si>
    <t>Quarter-end of first transaction</t>
  </si>
  <si>
    <t>Avg days between transactions</t>
  </si>
  <si>
    <t>Auto-Timestamp  =IF(A&lt;&gt;"",IF(OR(B="",B=0),NOW(),B),"")  — needs iterative calculation (already ON in this file)</t>
  </si>
  <si>
    <t>Type an entry here</t>
  </si>
  <si>
    <t>Timestamp (frozen at entry)</t>
  </si>
  <si>
    <t>Note</t>
  </si>
  <si>
    <t>Order verified</t>
  </si>
  <si>
    <t>Timestamp stays fixed after it is stamped. To re-stamp, clear the entry and retype it.</t>
  </si>
  <si>
    <t>Invoice generated</t>
  </si>
  <si>
    <t>If Excel warns about circular references: File &gt; Options &gt; Formulas &gt; Enable iterative calculation.</t>
  </si>
  <si>
    <t>Payment received</t>
  </si>
  <si>
    <t>What-If Analysis: Scenario Manager &amp; Goal Seek</t>
  </si>
  <si>
    <t>Blue cells on yellow are inputs. Scenario Manager scenarios are stored on cells B11:B13.</t>
  </si>
  <si>
    <t>Baseline (from dataset)</t>
  </si>
  <si>
    <t>Scenario comparison (all computed live)</t>
  </si>
  <si>
    <t>Total sales</t>
  </si>
  <si>
    <t>Parameter</t>
  </si>
  <si>
    <t>Base</t>
  </si>
  <si>
    <t>Optimistic</t>
  </si>
  <si>
    <t>Pessimistic</t>
  </si>
  <si>
    <t>Total profit</t>
  </si>
  <si>
    <t>Price change %</t>
  </si>
  <si>
    <t>Total cost (sales − profit)</t>
  </si>
  <si>
    <t>Volume change %</t>
  </si>
  <si>
    <t>Units sold</t>
  </si>
  <si>
    <t>Cost change %</t>
  </si>
  <si>
    <t>Changing cells (Scenario Manager / Goal Seek)</t>
  </si>
  <si>
    <t>Cost</t>
  </si>
  <si>
    <t>Profit vs baseline</t>
  </si>
  <si>
    <t>Model output</t>
  </si>
  <si>
    <t>New sales</t>
  </si>
  <si>
    <t>New cost</t>
  </si>
  <si>
    <t>Goal Seek in Excel: Data &gt; What-If Analysis &gt; Goal Seek</t>
  </si>
  <si>
    <t>New profit</t>
  </si>
  <si>
    <t>Set cell: B18   To value: =B25's value   By changing cell: B12</t>
  </si>
  <si>
    <t>New margin</t>
  </si>
  <si>
    <t>The result will match B26 above (the closed-form answer).</t>
  </si>
  <si>
    <t>Scenario Manager: Data &gt; What-If Analysis &gt; Scenario Manager</t>
  </si>
  <si>
    <t>Base, Optimistic and Pessimistic are pre-defined on B11:B13; click Show to apply.</t>
  </si>
  <si>
    <t>Goal Seek: profit target</t>
  </si>
  <si>
    <t>Desired profit uplift</t>
  </si>
  <si>
    <t>Target profit</t>
  </si>
  <si>
    <t>Required volume change (closed form)</t>
  </si>
  <si>
    <t>Profit at that volume</t>
  </si>
  <si>
    <t>Check (should be 0)</t>
  </si>
  <si>
    <t>Linear Regression: Profit (Y) on Sales (X)</t>
  </si>
  <si>
    <t>Same layout as Data Analysis ToolPak output, built with formulas so it stays live.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</si>
  <si>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</si>
  <si>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</si>
  <si>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</si>
  <si>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</si>
  <si>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</si>
  <si>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</si>
  <si>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</si>
  <si>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</si>
  <si>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</si>
  <si>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</si>
  <si>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</si>
  <si>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</si>
  <si>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</si>
  <si>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</si>
  <si>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</si>
  <si>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</si>
  <si>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</si>
  <si>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</si>
  <si>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</si>
  <si>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</si>
  <si>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</si>
  <si>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Sales (X variable)</t>
  </si>
  <si>
    <t>Prediction</t>
  </si>
  <si>
    <t>Sales amount (₹)</t>
  </si>
  <si>
    <t>Predicted profit (₹)</t>
  </si>
  <si>
    <t>Interpretation</t>
  </si>
  <si>
    <t>How to build the native-Excel versions</t>
  </si>
  <si>
    <t>This workbook delivers each requirement with formulas that work everywhere; these steps add the interactive Excel-only objects.</t>
  </si>
  <si>
    <t>Requirement</t>
  </si>
  <si>
    <t>Built in this workbook</t>
  </si>
  <si>
    <t>Native Excel steps</t>
  </si>
  <si>
    <t>PivotTables</t>
  </si>
  <si>
    <t>Pivot_Tables sheet (SUMIFS/COUNTIFS, reacts to dashboard filters)</t>
  </si>
  <si>
    <t>Select any cell in 'Final Project Dataset' &gt; Insert &gt; PivotTable &gt; New Worksheet. Drag product to Rows and sales/profit to Values.</t>
  </si>
  <si>
    <t>Pivot Charts (Bar, Line, Pie)</t>
  </si>
  <si>
    <t>Bar, line, pie and column charts on Dashboard</t>
  </si>
  <si>
    <t>Click inside the PivotTable &gt; PivotTable Analyze &gt; PivotChart, then pick Bar, Line or Pie.</t>
  </si>
  <si>
    <t>Slicers</t>
  </si>
  <si>
    <t>Region and Product drop-downs on Dashboard</t>
  </si>
  <si>
    <t>Click the PivotTable &gt; PivotTable Analyze &gt; Insert Slicer &gt; tick Region, Product.</t>
  </si>
  <si>
    <t>Timeline</t>
  </si>
  <si>
    <t>From / To date cells on Dashboard</t>
  </si>
  <si>
    <t>Click the PivotTable &gt; PivotTable Analyze &gt; Insert Timeline &gt; Date.</t>
  </si>
  <si>
    <t>FILTER function</t>
  </si>
  <si>
    <t>FILTER_Demo sheet (helper columns + INDEX/MATCH)</t>
  </si>
  <si>
    <t>In Excel 365: =FILTER(A2:K251,(G2:G251="West")*(C2:C251="Laptop"),"No match").</t>
  </si>
  <si>
    <t>Scenario Manager</t>
  </si>
  <si>
    <t>Base / Optimistic / Pessimistic stored on WhatIf!B11:B13</t>
  </si>
  <si>
    <t>Data &gt; What-If Analysis &gt; Scenario Manager &gt; select a scenario &gt; Show.</t>
  </si>
  <si>
    <t>Goal Seek</t>
  </si>
  <si>
    <t>Closed-form answer in WhatIf!B26</t>
  </si>
  <si>
    <t>Data &gt; What-If Analysis &gt; Goal Seek: Set cell B18, To value = target profit (B25), By changing B12.</t>
  </si>
  <si>
    <t>Data Analysis ToolPak regression</t>
  </si>
  <si>
    <t>Regression sheet reproduces the ToolPak output with formulas</t>
  </si>
  <si>
    <t>File &gt; Options &gt; Add-ins &gt; Analysis ToolPak &gt; Go. Then Data &gt; Data Analysis &gt; Regression, Y = profit, X = sales.</t>
  </si>
  <si>
    <t>Iterative timestamp</t>
  </si>
  <si>
    <t>Date_Time sheet, iterative calc already enabled</t>
  </si>
  <si>
    <t>File &gt; Options &gt; Formulas &gt; Enable iterative calculation; use =IF(A1&lt;&gt;"",IF(B1="",NOW(),B1),"").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</si>
</sst>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d\-mmm\-yyyy"/>
    <numFmt numFmtId="165" formatCode="\₹#,##0"/>
    <numFmt numFmtId="166" formatCode="0.0%"/>
    <numFmt numFmtId="167" formatCode="\+0.0%;\-0.0%;0.0%"/>
    <numFmt numFmtId="168" formatCode="mmm\ yyyy"/>
    <numFmt numFmtId="169" formatCode="dd\-mmm\-yyyy\ hh:mm:ss"/>
    <numFmt numFmtId="170" formatCode="0.0"/>
    <numFmt numFmtId="171" formatCode="0.0000"/>
    <numFmt numFmtId="172" formatCode="#,##0.0"/>
    <numFmt numFmtId="173" formatCode="#,##0.0000"/>
    <numFmt numFmtId="174" formatCode="0.000000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10"/>
      <name val="Arial"/>
      <charset val="1"/>
    </font>
    <font>
      <sz val="10"/>
      <color rgb="FF80808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59595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 applyAlignment="1">
      <alignment vertical="top" wrapText="1"/>
    </xf>
    <xf numFmtId="0" fontId="7" fillId="4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65" fontId="6" fillId="0" borderId="1" xfId="0" applyNumberFormat="1" applyFont="1" applyBorder="1"/>
    <xf numFmtId="1" fontId="6" fillId="0" borderId="1" xfId="0" applyNumberFormat="1" applyFont="1" applyBorder="1"/>
    <xf numFmtId="3" fontId="3" fillId="0" borderId="1" xfId="0" applyNumberFormat="1" applyFont="1" applyBorder="1"/>
    <xf numFmtId="166" fontId="6" fillId="0" borderId="1" xfId="0" applyNumberFormat="1" applyFont="1" applyBorder="1"/>
    <xf numFmtId="166" fontId="4" fillId="3" borderId="1" xfId="0" applyNumberFormat="1" applyFont="1" applyFill="1" applyBorder="1"/>
    <xf numFmtId="167" fontId="6" fillId="0" borderId="1" xfId="0" applyNumberFormat="1" applyFont="1" applyBorder="1" applyAlignment="1">
      <alignment horizontal="center" vertical="center"/>
    </xf>
    <xf numFmtId="165" fontId="4" fillId="3" borderId="1" xfId="0" applyNumberFormat="1" applyFont="1" applyFill="1" applyBorder="1"/>
    <xf numFmtId="2" fontId="6" fillId="0" borderId="1" xfId="0" applyNumberFormat="1" applyFont="1" applyBorder="1"/>
    <xf numFmtId="2" fontId="4" fillId="3" borderId="1" xfId="0" applyNumberFormat="1" applyFont="1" applyFill="1" applyBorder="1"/>
    <xf numFmtId="0" fontId="6" fillId="0" borderId="0" xfId="0" applyFont="1"/>
    <xf numFmtId="3" fontId="6" fillId="0" borderId="0" xfId="0" applyNumberFormat="1" applyFont="1"/>
    <xf numFmtId="166" fontId="6" fillId="0" borderId="0" xfId="0" applyNumberFormat="1" applyFont="1"/>
    <xf numFmtId="168" fontId="6" fillId="0" borderId="0" xfId="0" applyNumberFormat="1" applyFont="1"/>
    <xf numFmtId="0" fontId="5" fillId="5" borderId="1" xfId="0" applyFont="1" applyFill="1" applyBorder="1" applyAlignment="1">
      <alignment horizontal="center" vertical="center" wrapText="1"/>
    </xf>
    <xf numFmtId="164" fontId="6" fillId="0" borderId="0" xfId="0" applyNumberFormat="1" applyFont="1"/>
    <xf numFmtId="4" fontId="6" fillId="0" borderId="0" xfId="0" applyNumberFormat="1" applyFont="1"/>
    <xf numFmtId="1" fontId="6" fillId="0" borderId="0" xfId="0" applyNumberFormat="1" applyFont="1"/>
    <xf numFmtId="3" fontId="6" fillId="0" borderId="1" xfId="0" applyNumberFormat="1" applyFont="1" applyBorder="1"/>
    <xf numFmtId="0" fontId="3" fillId="6" borderId="1" xfId="0" applyFont="1" applyFill="1" applyBorder="1"/>
    <xf numFmtId="165" fontId="3" fillId="6" borderId="1" xfId="0" applyNumberFormat="1" applyFont="1" applyFill="1" applyBorder="1"/>
    <xf numFmtId="3" fontId="3" fillId="6" borderId="1" xfId="0" applyNumberFormat="1" applyFont="1" applyFill="1" applyBorder="1"/>
    <xf numFmtId="168" fontId="6" fillId="0" borderId="1" xfId="0" applyNumberFormat="1" applyFont="1" applyBorder="1"/>
    <xf numFmtId="0" fontId="8" fillId="0" borderId="0" xfId="0" applyFont="1"/>
    <xf numFmtId="3" fontId="4" fillId="3" borderId="1" xfId="0" applyNumberFormat="1" applyFont="1" applyFill="1" applyBorder="1"/>
    <xf numFmtId="164" fontId="6" fillId="0" borderId="1" xfId="0" applyNumberFormat="1" applyFont="1" applyBorder="1"/>
    <xf numFmtId="9" fontId="4" fillId="3" borderId="1" xfId="0" applyNumberFormat="1" applyFont="1" applyFill="1" applyBorder="1"/>
    <xf numFmtId="165" fontId="3" fillId="0" borderId="0" xfId="0" applyNumberFormat="1" applyFont="1"/>
    <xf numFmtId="166" fontId="3" fillId="0" borderId="0" xfId="0" applyNumberFormat="1" applyFont="1"/>
    <xf numFmtId="165" fontId="6" fillId="0" borderId="0" xfId="0" applyNumberFormat="1" applyFont="1"/>
    <xf numFmtId="4" fontId="9" fillId="0" borderId="0" xfId="0" applyNumberFormat="1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4" fillId="0" borderId="1" xfId="0" applyFont="1" applyBorder="1"/>
    <xf numFmtId="0" fontId="3" fillId="3" borderId="0" xfId="0" applyFont="1" applyFill="1"/>
    <xf numFmtId="164" fontId="6" fillId="0" borderId="1" xfId="0" applyNumberFormat="1" applyFont="1" applyBorder="1" applyAlignment="1">
      <alignment horizontal="left" vertical="center"/>
    </xf>
    <xf numFmtId="16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left" vertical="center"/>
    </xf>
    <xf numFmtId="169" fontId="6" fillId="0" borderId="1" xfId="0" applyNumberFormat="1" applyFont="1" applyBorder="1"/>
    <xf numFmtId="0" fontId="3" fillId="6" borderId="0" xfId="0" applyFont="1" applyFill="1"/>
    <xf numFmtId="167" fontId="6" fillId="0" borderId="1" xfId="0" applyNumberFormat="1" applyFont="1" applyBorder="1"/>
    <xf numFmtId="10" fontId="3" fillId="3" borderId="1" xfId="0" applyNumberFormat="1" applyFont="1" applyFill="1" applyBorder="1"/>
    <xf numFmtId="171" fontId="6" fillId="0" borderId="1" xfId="0" applyNumberFormat="1" applyFont="1" applyBorder="1"/>
    <xf numFmtId="4" fontId="6" fillId="0" borderId="1" xfId="0" applyNumberFormat="1" applyFont="1" applyBorder="1"/>
    <xf numFmtId="172" fontId="6" fillId="0" borderId="1" xfId="0" applyNumberFormat="1" applyFont="1" applyBorder="1"/>
    <xf numFmtId="11" fontId="6" fillId="0" borderId="1" xfId="0" applyNumberFormat="1" applyFont="1" applyBorder="1"/>
    <xf numFmtId="173" fontId="6" fillId="0" borderId="1" xfId="0" applyNumberFormat="1" applyFont="1" applyBorder="1"/>
    <xf numFmtId="174" fontId="6" fillId="0" borderId="1" xfId="0" applyNumberFormat="1" applyFont="1" applyBorder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ill>
        <patternFill>
          <bgColor rgb="FFC6E0B4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808080"/>
      <rgbColor rgb="FF7F7F7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E75B6"/>
      <rgbColor rgb="FF4BACC6"/>
      <rgbColor rgb="FF9BBB59"/>
      <rgbColor rgb="FFFFCC00"/>
      <rgbColor rgb="FFBF8F00"/>
      <rgbColor rgb="FFFF6600"/>
      <rgbColor rgb="FF8064A2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Product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Pivot_Tables!$A$5:$A$14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Tablet</c:v>
                </c:pt>
                <c:pt idx="4">
                  <c:v>Smartwatch</c:v>
                </c:pt>
                <c:pt idx="5">
                  <c:v>Printer</c:v>
                </c:pt>
                <c:pt idx="6">
                  <c:v>Headphones</c:v>
                </c:pt>
                <c:pt idx="7">
                  <c:v>Webcam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Pivot_Tables!$B$5:$B$14</c:f>
              <c:numCache>
                <c:formatCode>\₹#,##0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89673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E-4D73-B4AD-7D7C93FD4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49138"/>
        <c:axId val="52703591"/>
      </c:barChart>
      <c:catAx>
        <c:axId val="8504913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03591"/>
        <c:crosses val="autoZero"/>
        <c:auto val="1"/>
        <c:lblAlgn val="ctr"/>
        <c:lblOffset val="100"/>
        <c:noMultiLvlLbl val="0"/>
      </c:catAx>
      <c:valAx>
        <c:axId val="52703591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49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&amp; Profit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Pivot_Tables!$B$36</c:f>
              <c:strCache>
                <c:ptCount val="1"/>
                <c:pt idx="0">
                  <c:v>Sales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Pivot_Tables!$F$37:$F$48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Pivot_Tables!$B$37:$B$48</c:f>
              <c:numCache>
                <c:formatCode>\₹#,##0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43305</c:v>
                </c:pt>
                <c:pt idx="3">
                  <c:v>0</c:v>
                </c:pt>
                <c:pt idx="4">
                  <c:v>0</c:v>
                </c:pt>
                <c:pt idx="5">
                  <c:v>15332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31036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CF-4A71-969F-1DFB4A28E60C}"/>
            </c:ext>
          </c:extLst>
        </c:ser>
        <c:ser>
          <c:idx val="1"/>
          <c:order val="1"/>
          <c:tx>
            <c:strRef>
              <c:f>Pivot_Tables!$C$36</c:f>
              <c:strCache>
                <c:ptCount val="1"/>
                <c:pt idx="0">
                  <c:v>Profit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Pivot_Tables!$F$37:$F$48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Pivot_Tables!$C$37:$C$48</c:f>
              <c:numCache>
                <c:formatCode>\₹#,##0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7627.95</c:v>
                </c:pt>
                <c:pt idx="3">
                  <c:v>0</c:v>
                </c:pt>
                <c:pt idx="4">
                  <c:v>0</c:v>
                </c:pt>
                <c:pt idx="5">
                  <c:v>1995.56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6292.17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CF-4A71-969F-1DFB4A28E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095834"/>
        <c:axId val="55823817"/>
      </c:lineChart>
      <c:catAx>
        <c:axId val="100958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23817"/>
        <c:crosses val="autoZero"/>
        <c:auto val="1"/>
        <c:lblAlgn val="ctr"/>
        <c:lblOffset val="100"/>
        <c:noMultiLvlLbl val="0"/>
      </c:catAx>
      <c:valAx>
        <c:axId val="55823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95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Pivot_Tables!$B$27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2D0-47DC-8309-EEFC46CCDB9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2D0-47DC-8309-EEFC46CCDB9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2D0-47DC-8309-EEFC46CCDB9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2D0-47DC-8309-EEFC46CCDB9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2D0-47DC-8309-EEFC46CCDB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2D0-47DC-8309-EEFC46CCDB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2D0-47DC-8309-EEFC46CCDB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2D0-47DC-8309-EEFC46CCDB9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2D0-47DC-8309-EEFC46CCDB9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2D0-47DC-8309-EEFC46CCD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Pivot_Tables!$A$28:$A$32</c:f>
              <c:strCache>
                <c:ptCount val="5"/>
                <c:pt idx="0">
                  <c:v>Credit Card</c:v>
                </c:pt>
                <c:pt idx="1">
                  <c:v>Debit Card</c:v>
                </c:pt>
                <c:pt idx="2">
                  <c:v>UPI</c:v>
                </c:pt>
                <c:pt idx="3">
                  <c:v>Cash</c:v>
                </c:pt>
                <c:pt idx="4">
                  <c:v>Net Banking</c:v>
                </c:pt>
              </c:strCache>
            </c:strRef>
          </c:cat>
          <c:val>
            <c:numRef>
              <c:f>Pivot_Tables!$B$28:$B$32</c:f>
              <c:numCache>
                <c:formatCode>\₹#,##0</c:formatCode>
                <c:ptCount val="5"/>
                <c:pt idx="0">
                  <c:v>31036</c:v>
                </c:pt>
                <c:pt idx="1">
                  <c:v>0</c:v>
                </c:pt>
                <c:pt idx="2">
                  <c:v>43305</c:v>
                </c:pt>
                <c:pt idx="3">
                  <c:v>15332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D0-47DC-8309-EEFC46CCD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Pivot_Tables!$C$18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Pivot_Tables!$A$19:$A$23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Pivot_Tables!$C$19:$C$23</c:f>
              <c:numCache>
                <c:formatCode>\₹#,##0</c:formatCode>
                <c:ptCount val="5"/>
                <c:pt idx="0">
                  <c:v>0</c:v>
                </c:pt>
                <c:pt idx="1">
                  <c:v>15915.68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0-4EB4-92D4-AA4CE3D44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63226"/>
        <c:axId val="57349605"/>
      </c:barChart>
      <c:catAx>
        <c:axId val="54263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49605"/>
        <c:crosses val="autoZero"/>
        <c:auto val="1"/>
        <c:lblAlgn val="ctr"/>
        <c:lblOffset val="100"/>
        <c:noMultiLvlLbl val="0"/>
      </c:catAx>
      <c:valAx>
        <c:axId val="57349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632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vs Sales (with linear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Transactions</c:v>
          </c:tx>
          <c:spPr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'Final Project Dataset'!$F$2:$F$251</c:f>
              <c:numCache>
                <c:formatCode>#,##0</c:formatCode>
                <c:ptCount val="250"/>
                <c:pt idx="0">
                  <c:v>7390</c:v>
                </c:pt>
                <c:pt idx="1">
                  <c:v>9403</c:v>
                </c:pt>
                <c:pt idx="2">
                  <c:v>34624</c:v>
                </c:pt>
                <c:pt idx="3">
                  <c:v>8751</c:v>
                </c:pt>
                <c:pt idx="4">
                  <c:v>42690</c:v>
                </c:pt>
                <c:pt idx="5">
                  <c:v>18590</c:v>
                </c:pt>
                <c:pt idx="6">
                  <c:v>1978</c:v>
                </c:pt>
                <c:pt idx="7">
                  <c:v>5469</c:v>
                </c:pt>
                <c:pt idx="8">
                  <c:v>46180</c:v>
                </c:pt>
                <c:pt idx="9">
                  <c:v>8460</c:v>
                </c:pt>
                <c:pt idx="10">
                  <c:v>8898</c:v>
                </c:pt>
                <c:pt idx="11">
                  <c:v>5470</c:v>
                </c:pt>
                <c:pt idx="12">
                  <c:v>862</c:v>
                </c:pt>
                <c:pt idx="13">
                  <c:v>8733</c:v>
                </c:pt>
                <c:pt idx="14">
                  <c:v>2788</c:v>
                </c:pt>
                <c:pt idx="15">
                  <c:v>20126</c:v>
                </c:pt>
                <c:pt idx="16">
                  <c:v>9720</c:v>
                </c:pt>
                <c:pt idx="17">
                  <c:v>3035</c:v>
                </c:pt>
                <c:pt idx="18">
                  <c:v>3554</c:v>
                </c:pt>
                <c:pt idx="19">
                  <c:v>16411</c:v>
                </c:pt>
                <c:pt idx="20">
                  <c:v>3636</c:v>
                </c:pt>
                <c:pt idx="21">
                  <c:v>6420</c:v>
                </c:pt>
                <c:pt idx="22">
                  <c:v>10272</c:v>
                </c:pt>
                <c:pt idx="23">
                  <c:v>3321</c:v>
                </c:pt>
                <c:pt idx="24">
                  <c:v>7628</c:v>
                </c:pt>
                <c:pt idx="25">
                  <c:v>47290</c:v>
                </c:pt>
                <c:pt idx="26">
                  <c:v>12713</c:v>
                </c:pt>
                <c:pt idx="27">
                  <c:v>1979</c:v>
                </c:pt>
                <c:pt idx="28">
                  <c:v>943</c:v>
                </c:pt>
                <c:pt idx="29">
                  <c:v>19646</c:v>
                </c:pt>
                <c:pt idx="30">
                  <c:v>22533</c:v>
                </c:pt>
                <c:pt idx="31">
                  <c:v>49188</c:v>
                </c:pt>
                <c:pt idx="32">
                  <c:v>4735</c:v>
                </c:pt>
                <c:pt idx="33">
                  <c:v>37240</c:v>
                </c:pt>
                <c:pt idx="34">
                  <c:v>21010</c:v>
                </c:pt>
                <c:pt idx="35">
                  <c:v>13105</c:v>
                </c:pt>
                <c:pt idx="36">
                  <c:v>21597</c:v>
                </c:pt>
                <c:pt idx="37">
                  <c:v>17640</c:v>
                </c:pt>
                <c:pt idx="38">
                  <c:v>16260</c:v>
                </c:pt>
                <c:pt idx="39">
                  <c:v>96495</c:v>
                </c:pt>
                <c:pt idx="40">
                  <c:v>1854</c:v>
                </c:pt>
                <c:pt idx="41">
                  <c:v>43305</c:v>
                </c:pt>
                <c:pt idx="42">
                  <c:v>45542</c:v>
                </c:pt>
                <c:pt idx="43">
                  <c:v>16634</c:v>
                </c:pt>
                <c:pt idx="44">
                  <c:v>227400</c:v>
                </c:pt>
                <c:pt idx="45">
                  <c:v>84868</c:v>
                </c:pt>
                <c:pt idx="46">
                  <c:v>21457</c:v>
                </c:pt>
                <c:pt idx="47">
                  <c:v>20225</c:v>
                </c:pt>
                <c:pt idx="48">
                  <c:v>1799</c:v>
                </c:pt>
                <c:pt idx="49">
                  <c:v>15406</c:v>
                </c:pt>
                <c:pt idx="50">
                  <c:v>48960</c:v>
                </c:pt>
                <c:pt idx="51">
                  <c:v>5070</c:v>
                </c:pt>
                <c:pt idx="52">
                  <c:v>3795</c:v>
                </c:pt>
                <c:pt idx="53">
                  <c:v>39590</c:v>
                </c:pt>
                <c:pt idx="54">
                  <c:v>29523</c:v>
                </c:pt>
                <c:pt idx="55">
                  <c:v>15628</c:v>
                </c:pt>
                <c:pt idx="56">
                  <c:v>17002</c:v>
                </c:pt>
                <c:pt idx="57">
                  <c:v>49005</c:v>
                </c:pt>
                <c:pt idx="58">
                  <c:v>2564</c:v>
                </c:pt>
                <c:pt idx="59">
                  <c:v>169176</c:v>
                </c:pt>
                <c:pt idx="60">
                  <c:v>41084</c:v>
                </c:pt>
                <c:pt idx="61">
                  <c:v>11146</c:v>
                </c:pt>
                <c:pt idx="62">
                  <c:v>2578</c:v>
                </c:pt>
                <c:pt idx="63">
                  <c:v>11070</c:v>
                </c:pt>
                <c:pt idx="64">
                  <c:v>12422</c:v>
                </c:pt>
                <c:pt idx="65">
                  <c:v>8705</c:v>
                </c:pt>
                <c:pt idx="66">
                  <c:v>9845</c:v>
                </c:pt>
                <c:pt idx="67">
                  <c:v>5118</c:v>
                </c:pt>
                <c:pt idx="68">
                  <c:v>3532</c:v>
                </c:pt>
                <c:pt idx="69">
                  <c:v>6648</c:v>
                </c:pt>
                <c:pt idx="70">
                  <c:v>3606</c:v>
                </c:pt>
                <c:pt idx="71">
                  <c:v>8494</c:v>
                </c:pt>
                <c:pt idx="72">
                  <c:v>3573</c:v>
                </c:pt>
                <c:pt idx="73">
                  <c:v>5722</c:v>
                </c:pt>
                <c:pt idx="74">
                  <c:v>23352</c:v>
                </c:pt>
                <c:pt idx="75">
                  <c:v>4100</c:v>
                </c:pt>
                <c:pt idx="76">
                  <c:v>9239</c:v>
                </c:pt>
                <c:pt idx="77">
                  <c:v>12769</c:v>
                </c:pt>
                <c:pt idx="78">
                  <c:v>5598</c:v>
                </c:pt>
                <c:pt idx="79">
                  <c:v>94916</c:v>
                </c:pt>
                <c:pt idx="80">
                  <c:v>2937</c:v>
                </c:pt>
                <c:pt idx="81">
                  <c:v>31173</c:v>
                </c:pt>
                <c:pt idx="82">
                  <c:v>51548</c:v>
                </c:pt>
                <c:pt idx="83">
                  <c:v>21588</c:v>
                </c:pt>
                <c:pt idx="84">
                  <c:v>13069</c:v>
                </c:pt>
                <c:pt idx="85">
                  <c:v>22017</c:v>
                </c:pt>
                <c:pt idx="86">
                  <c:v>10323</c:v>
                </c:pt>
                <c:pt idx="87">
                  <c:v>7929</c:v>
                </c:pt>
                <c:pt idx="88">
                  <c:v>22255</c:v>
                </c:pt>
                <c:pt idx="89">
                  <c:v>9617</c:v>
                </c:pt>
                <c:pt idx="90">
                  <c:v>20496</c:v>
                </c:pt>
                <c:pt idx="91">
                  <c:v>66292</c:v>
                </c:pt>
                <c:pt idx="92">
                  <c:v>18312</c:v>
                </c:pt>
                <c:pt idx="93">
                  <c:v>40789</c:v>
                </c:pt>
                <c:pt idx="94">
                  <c:v>6642</c:v>
                </c:pt>
                <c:pt idx="95">
                  <c:v>3478</c:v>
                </c:pt>
                <c:pt idx="96">
                  <c:v>7212</c:v>
                </c:pt>
                <c:pt idx="97">
                  <c:v>3412</c:v>
                </c:pt>
                <c:pt idx="98">
                  <c:v>38872</c:v>
                </c:pt>
                <c:pt idx="99">
                  <c:v>911</c:v>
                </c:pt>
                <c:pt idx="100">
                  <c:v>18548</c:v>
                </c:pt>
                <c:pt idx="101">
                  <c:v>3693</c:v>
                </c:pt>
                <c:pt idx="102">
                  <c:v>3727</c:v>
                </c:pt>
                <c:pt idx="103">
                  <c:v>23427</c:v>
                </c:pt>
                <c:pt idx="104">
                  <c:v>42494</c:v>
                </c:pt>
                <c:pt idx="105">
                  <c:v>43767</c:v>
                </c:pt>
                <c:pt idx="106">
                  <c:v>11486</c:v>
                </c:pt>
                <c:pt idx="107">
                  <c:v>63725</c:v>
                </c:pt>
                <c:pt idx="108">
                  <c:v>838</c:v>
                </c:pt>
                <c:pt idx="109">
                  <c:v>3526</c:v>
                </c:pt>
                <c:pt idx="110">
                  <c:v>7312</c:v>
                </c:pt>
                <c:pt idx="111">
                  <c:v>18716</c:v>
                </c:pt>
                <c:pt idx="112">
                  <c:v>35616</c:v>
                </c:pt>
                <c:pt idx="113">
                  <c:v>8626</c:v>
                </c:pt>
                <c:pt idx="114">
                  <c:v>3793</c:v>
                </c:pt>
                <c:pt idx="115">
                  <c:v>3564</c:v>
                </c:pt>
                <c:pt idx="116">
                  <c:v>3653</c:v>
                </c:pt>
                <c:pt idx="117">
                  <c:v>17362</c:v>
                </c:pt>
                <c:pt idx="118">
                  <c:v>1645</c:v>
                </c:pt>
                <c:pt idx="119">
                  <c:v>23096</c:v>
                </c:pt>
                <c:pt idx="120">
                  <c:v>15332</c:v>
                </c:pt>
                <c:pt idx="121">
                  <c:v>9744</c:v>
                </c:pt>
                <c:pt idx="122">
                  <c:v>1780</c:v>
                </c:pt>
                <c:pt idx="123">
                  <c:v>1888</c:v>
                </c:pt>
                <c:pt idx="124">
                  <c:v>5522</c:v>
                </c:pt>
                <c:pt idx="125">
                  <c:v>834</c:v>
                </c:pt>
                <c:pt idx="126">
                  <c:v>133134</c:v>
                </c:pt>
                <c:pt idx="127">
                  <c:v>23298</c:v>
                </c:pt>
                <c:pt idx="128">
                  <c:v>41518</c:v>
                </c:pt>
                <c:pt idx="129">
                  <c:v>9427</c:v>
                </c:pt>
                <c:pt idx="130">
                  <c:v>9561</c:v>
                </c:pt>
                <c:pt idx="131">
                  <c:v>15676</c:v>
                </c:pt>
                <c:pt idx="132">
                  <c:v>47665</c:v>
                </c:pt>
                <c:pt idx="133">
                  <c:v>11762</c:v>
                </c:pt>
                <c:pt idx="134">
                  <c:v>16962</c:v>
                </c:pt>
                <c:pt idx="135">
                  <c:v>10338</c:v>
                </c:pt>
                <c:pt idx="136">
                  <c:v>944</c:v>
                </c:pt>
                <c:pt idx="137">
                  <c:v>42825</c:v>
                </c:pt>
                <c:pt idx="138">
                  <c:v>3695</c:v>
                </c:pt>
                <c:pt idx="139">
                  <c:v>1764</c:v>
                </c:pt>
                <c:pt idx="140">
                  <c:v>8668</c:v>
                </c:pt>
                <c:pt idx="141">
                  <c:v>980</c:v>
                </c:pt>
                <c:pt idx="142">
                  <c:v>19638</c:v>
                </c:pt>
                <c:pt idx="143">
                  <c:v>47172</c:v>
                </c:pt>
                <c:pt idx="144">
                  <c:v>15532</c:v>
                </c:pt>
                <c:pt idx="145">
                  <c:v>3536</c:v>
                </c:pt>
                <c:pt idx="146">
                  <c:v>4695</c:v>
                </c:pt>
                <c:pt idx="147">
                  <c:v>25845</c:v>
                </c:pt>
                <c:pt idx="148">
                  <c:v>17093</c:v>
                </c:pt>
                <c:pt idx="149">
                  <c:v>38001</c:v>
                </c:pt>
                <c:pt idx="150">
                  <c:v>23960</c:v>
                </c:pt>
                <c:pt idx="151">
                  <c:v>1853</c:v>
                </c:pt>
                <c:pt idx="152">
                  <c:v>76984</c:v>
                </c:pt>
                <c:pt idx="153">
                  <c:v>52680</c:v>
                </c:pt>
                <c:pt idx="154">
                  <c:v>33771</c:v>
                </c:pt>
                <c:pt idx="155">
                  <c:v>1620</c:v>
                </c:pt>
                <c:pt idx="156">
                  <c:v>3836</c:v>
                </c:pt>
                <c:pt idx="157">
                  <c:v>42642</c:v>
                </c:pt>
                <c:pt idx="158">
                  <c:v>3376</c:v>
                </c:pt>
                <c:pt idx="159">
                  <c:v>8463</c:v>
                </c:pt>
                <c:pt idx="160">
                  <c:v>17248</c:v>
                </c:pt>
                <c:pt idx="161">
                  <c:v>3325</c:v>
                </c:pt>
                <c:pt idx="162">
                  <c:v>5547</c:v>
                </c:pt>
                <c:pt idx="163">
                  <c:v>18784</c:v>
                </c:pt>
                <c:pt idx="164">
                  <c:v>3600</c:v>
                </c:pt>
                <c:pt idx="165">
                  <c:v>17237</c:v>
                </c:pt>
                <c:pt idx="166">
                  <c:v>59583</c:v>
                </c:pt>
                <c:pt idx="167">
                  <c:v>1719</c:v>
                </c:pt>
                <c:pt idx="168">
                  <c:v>40992</c:v>
                </c:pt>
                <c:pt idx="169">
                  <c:v>18678</c:v>
                </c:pt>
                <c:pt idx="170">
                  <c:v>11172</c:v>
                </c:pt>
                <c:pt idx="171">
                  <c:v>899</c:v>
                </c:pt>
                <c:pt idx="172">
                  <c:v>23964</c:v>
                </c:pt>
                <c:pt idx="173">
                  <c:v>7522</c:v>
                </c:pt>
                <c:pt idx="174">
                  <c:v>903</c:v>
                </c:pt>
                <c:pt idx="175">
                  <c:v>24958</c:v>
                </c:pt>
                <c:pt idx="176">
                  <c:v>5376</c:v>
                </c:pt>
                <c:pt idx="177">
                  <c:v>23588</c:v>
                </c:pt>
                <c:pt idx="178">
                  <c:v>23158</c:v>
                </c:pt>
                <c:pt idx="179">
                  <c:v>1662</c:v>
                </c:pt>
                <c:pt idx="180">
                  <c:v>5252</c:v>
                </c:pt>
                <c:pt idx="181">
                  <c:v>11393</c:v>
                </c:pt>
                <c:pt idx="182">
                  <c:v>15284</c:v>
                </c:pt>
                <c:pt idx="183">
                  <c:v>2562</c:v>
                </c:pt>
                <c:pt idx="184">
                  <c:v>3822</c:v>
                </c:pt>
                <c:pt idx="185">
                  <c:v>4977</c:v>
                </c:pt>
                <c:pt idx="186">
                  <c:v>12808</c:v>
                </c:pt>
                <c:pt idx="187">
                  <c:v>6086</c:v>
                </c:pt>
                <c:pt idx="188">
                  <c:v>43291</c:v>
                </c:pt>
                <c:pt idx="189">
                  <c:v>9060</c:v>
                </c:pt>
                <c:pt idx="190">
                  <c:v>13068</c:v>
                </c:pt>
                <c:pt idx="191">
                  <c:v>20082</c:v>
                </c:pt>
                <c:pt idx="192">
                  <c:v>12472</c:v>
                </c:pt>
                <c:pt idx="193">
                  <c:v>1835</c:v>
                </c:pt>
                <c:pt idx="194">
                  <c:v>11915</c:v>
                </c:pt>
                <c:pt idx="195">
                  <c:v>2566</c:v>
                </c:pt>
                <c:pt idx="196">
                  <c:v>43502</c:v>
                </c:pt>
                <c:pt idx="197">
                  <c:v>37872</c:v>
                </c:pt>
                <c:pt idx="198">
                  <c:v>3266</c:v>
                </c:pt>
                <c:pt idx="199">
                  <c:v>7977</c:v>
                </c:pt>
                <c:pt idx="200">
                  <c:v>5256</c:v>
                </c:pt>
                <c:pt idx="201">
                  <c:v>51476</c:v>
                </c:pt>
                <c:pt idx="202">
                  <c:v>61563</c:v>
                </c:pt>
                <c:pt idx="203">
                  <c:v>85780</c:v>
                </c:pt>
                <c:pt idx="204">
                  <c:v>3543</c:v>
                </c:pt>
                <c:pt idx="205">
                  <c:v>96776</c:v>
                </c:pt>
                <c:pt idx="206">
                  <c:v>827</c:v>
                </c:pt>
                <c:pt idx="207">
                  <c:v>47426</c:v>
                </c:pt>
                <c:pt idx="208">
                  <c:v>44784</c:v>
                </c:pt>
                <c:pt idx="209">
                  <c:v>8868</c:v>
                </c:pt>
                <c:pt idx="210">
                  <c:v>63339</c:v>
                </c:pt>
                <c:pt idx="211">
                  <c:v>2970</c:v>
                </c:pt>
                <c:pt idx="212">
                  <c:v>7022</c:v>
                </c:pt>
                <c:pt idx="213">
                  <c:v>14432</c:v>
                </c:pt>
                <c:pt idx="214">
                  <c:v>24051</c:v>
                </c:pt>
                <c:pt idx="215">
                  <c:v>1922</c:v>
                </c:pt>
                <c:pt idx="216">
                  <c:v>19643</c:v>
                </c:pt>
                <c:pt idx="217">
                  <c:v>32658</c:v>
                </c:pt>
                <c:pt idx="218">
                  <c:v>1900</c:v>
                </c:pt>
                <c:pt idx="219">
                  <c:v>9709</c:v>
                </c:pt>
                <c:pt idx="220">
                  <c:v>18584</c:v>
                </c:pt>
                <c:pt idx="221">
                  <c:v>37922</c:v>
                </c:pt>
                <c:pt idx="222">
                  <c:v>1800</c:v>
                </c:pt>
                <c:pt idx="223">
                  <c:v>32790</c:v>
                </c:pt>
                <c:pt idx="224">
                  <c:v>31036</c:v>
                </c:pt>
                <c:pt idx="225">
                  <c:v>936</c:v>
                </c:pt>
                <c:pt idx="226">
                  <c:v>37464</c:v>
                </c:pt>
                <c:pt idx="227">
                  <c:v>44954</c:v>
                </c:pt>
                <c:pt idx="228">
                  <c:v>3271</c:v>
                </c:pt>
                <c:pt idx="229">
                  <c:v>40844</c:v>
                </c:pt>
                <c:pt idx="230">
                  <c:v>8579</c:v>
                </c:pt>
                <c:pt idx="231">
                  <c:v>5760</c:v>
                </c:pt>
                <c:pt idx="232">
                  <c:v>41108</c:v>
                </c:pt>
                <c:pt idx="233">
                  <c:v>86315</c:v>
                </c:pt>
                <c:pt idx="234">
                  <c:v>26138</c:v>
                </c:pt>
                <c:pt idx="235">
                  <c:v>19646</c:v>
                </c:pt>
                <c:pt idx="236">
                  <c:v>22785</c:v>
                </c:pt>
                <c:pt idx="237">
                  <c:v>2978</c:v>
                </c:pt>
                <c:pt idx="238">
                  <c:v>24053</c:v>
                </c:pt>
                <c:pt idx="239">
                  <c:v>34413</c:v>
                </c:pt>
                <c:pt idx="240">
                  <c:v>34576</c:v>
                </c:pt>
                <c:pt idx="241">
                  <c:v>44811</c:v>
                </c:pt>
                <c:pt idx="242">
                  <c:v>856</c:v>
                </c:pt>
                <c:pt idx="243">
                  <c:v>939</c:v>
                </c:pt>
                <c:pt idx="244">
                  <c:v>37202</c:v>
                </c:pt>
                <c:pt idx="245">
                  <c:v>9412</c:v>
                </c:pt>
                <c:pt idx="246">
                  <c:v>3351</c:v>
                </c:pt>
                <c:pt idx="247">
                  <c:v>39080</c:v>
                </c:pt>
                <c:pt idx="248">
                  <c:v>7777</c:v>
                </c:pt>
                <c:pt idx="249">
                  <c:v>9120</c:v>
                </c:pt>
              </c:numCache>
            </c:numRef>
          </c:xVal>
          <c:yVal>
            <c:numRef>
              <c:f>'Final Project Dataset'!$H$2:$H$251</c:f>
              <c:numCache>
                <c:formatCode>#,##0.00</c:formatCode>
                <c:ptCount val="250"/>
                <c:pt idx="0">
                  <c:v>1869.93</c:v>
                </c:pt>
                <c:pt idx="1">
                  <c:v>1295.9100000000001</c:v>
                </c:pt>
                <c:pt idx="2">
                  <c:v>3946.53</c:v>
                </c:pt>
                <c:pt idx="3">
                  <c:v>1759.61</c:v>
                </c:pt>
                <c:pt idx="4">
                  <c:v>8005.22</c:v>
                </c:pt>
                <c:pt idx="5">
                  <c:v>5356.55</c:v>
                </c:pt>
                <c:pt idx="6">
                  <c:v>529.1</c:v>
                </c:pt>
                <c:pt idx="7">
                  <c:v>1709.19</c:v>
                </c:pt>
                <c:pt idx="8">
                  <c:v>5213.45</c:v>
                </c:pt>
                <c:pt idx="9">
                  <c:v>1191.25</c:v>
                </c:pt>
                <c:pt idx="10">
                  <c:v>2016.23</c:v>
                </c:pt>
                <c:pt idx="11">
                  <c:v>1247.3399999999999</c:v>
                </c:pt>
                <c:pt idx="12">
                  <c:v>241.46</c:v>
                </c:pt>
                <c:pt idx="13">
                  <c:v>1587.62</c:v>
                </c:pt>
                <c:pt idx="14">
                  <c:v>568.95000000000005</c:v>
                </c:pt>
                <c:pt idx="15">
                  <c:v>2675.64</c:v>
                </c:pt>
                <c:pt idx="16">
                  <c:v>2432.7800000000002</c:v>
                </c:pt>
                <c:pt idx="17">
                  <c:v>677.15</c:v>
                </c:pt>
                <c:pt idx="18">
                  <c:v>1044.69</c:v>
                </c:pt>
                <c:pt idx="19">
                  <c:v>2520.3000000000002</c:v>
                </c:pt>
                <c:pt idx="20">
                  <c:v>984.05</c:v>
                </c:pt>
                <c:pt idx="21">
                  <c:v>1909.73</c:v>
                </c:pt>
                <c:pt idx="22">
                  <c:v>2245.4499999999998</c:v>
                </c:pt>
                <c:pt idx="23">
                  <c:v>821.99</c:v>
                </c:pt>
                <c:pt idx="24">
                  <c:v>1809.37</c:v>
                </c:pt>
                <c:pt idx="25">
                  <c:v>4491.43</c:v>
                </c:pt>
                <c:pt idx="26">
                  <c:v>1610.38</c:v>
                </c:pt>
                <c:pt idx="27">
                  <c:v>556.01</c:v>
                </c:pt>
                <c:pt idx="28">
                  <c:v>327.39</c:v>
                </c:pt>
                <c:pt idx="29">
                  <c:v>2232.9499999999998</c:v>
                </c:pt>
                <c:pt idx="30">
                  <c:v>2845.9</c:v>
                </c:pt>
                <c:pt idx="31">
                  <c:v>6059.94</c:v>
                </c:pt>
                <c:pt idx="32">
                  <c:v>1517.04</c:v>
                </c:pt>
                <c:pt idx="33">
                  <c:v>5942.73</c:v>
                </c:pt>
                <c:pt idx="34">
                  <c:v>1939.67</c:v>
                </c:pt>
                <c:pt idx="35">
                  <c:v>2612.83</c:v>
                </c:pt>
                <c:pt idx="36">
                  <c:v>2205.1799999999998</c:v>
                </c:pt>
                <c:pt idx="37">
                  <c:v>4936.58</c:v>
                </c:pt>
                <c:pt idx="38">
                  <c:v>1839.4</c:v>
                </c:pt>
                <c:pt idx="39">
                  <c:v>7830.39</c:v>
                </c:pt>
                <c:pt idx="40">
                  <c:v>472.7</c:v>
                </c:pt>
                <c:pt idx="41">
                  <c:v>7627.95</c:v>
                </c:pt>
                <c:pt idx="42">
                  <c:v>4259.1099999999997</c:v>
                </c:pt>
                <c:pt idx="43">
                  <c:v>1651.06</c:v>
                </c:pt>
                <c:pt idx="44">
                  <c:v>36325.269999999997</c:v>
                </c:pt>
                <c:pt idx="45">
                  <c:v>7199.64</c:v>
                </c:pt>
                <c:pt idx="46">
                  <c:v>3200.66</c:v>
                </c:pt>
                <c:pt idx="47">
                  <c:v>2909.96</c:v>
                </c:pt>
                <c:pt idx="48">
                  <c:v>491.24</c:v>
                </c:pt>
                <c:pt idx="49">
                  <c:v>2411.9899999999998</c:v>
                </c:pt>
                <c:pt idx="50">
                  <c:v>5703.16</c:v>
                </c:pt>
                <c:pt idx="51">
                  <c:v>1187.77</c:v>
                </c:pt>
                <c:pt idx="52">
                  <c:v>951.88</c:v>
                </c:pt>
                <c:pt idx="53">
                  <c:v>3959.71</c:v>
                </c:pt>
                <c:pt idx="54">
                  <c:v>6060.45</c:v>
                </c:pt>
                <c:pt idx="55">
                  <c:v>2656.22</c:v>
                </c:pt>
                <c:pt idx="56">
                  <c:v>2606.4</c:v>
                </c:pt>
                <c:pt idx="57">
                  <c:v>7796.79</c:v>
                </c:pt>
                <c:pt idx="58">
                  <c:v>501.5</c:v>
                </c:pt>
                <c:pt idx="59">
                  <c:v>15570.62</c:v>
                </c:pt>
                <c:pt idx="60">
                  <c:v>6744.38</c:v>
                </c:pt>
                <c:pt idx="61">
                  <c:v>2085.34</c:v>
                </c:pt>
                <c:pt idx="62">
                  <c:v>569.07000000000005</c:v>
                </c:pt>
                <c:pt idx="63">
                  <c:v>3109.61</c:v>
                </c:pt>
                <c:pt idx="64">
                  <c:v>1877.18</c:v>
                </c:pt>
                <c:pt idx="65">
                  <c:v>1721.26</c:v>
                </c:pt>
                <c:pt idx="66">
                  <c:v>1260.22</c:v>
                </c:pt>
                <c:pt idx="67">
                  <c:v>1342.85</c:v>
                </c:pt>
                <c:pt idx="68">
                  <c:v>993.73</c:v>
                </c:pt>
                <c:pt idx="69">
                  <c:v>2174.16</c:v>
                </c:pt>
                <c:pt idx="70">
                  <c:v>1051.54</c:v>
                </c:pt>
                <c:pt idx="71">
                  <c:v>1502.6</c:v>
                </c:pt>
                <c:pt idx="72">
                  <c:v>971</c:v>
                </c:pt>
                <c:pt idx="73">
                  <c:v>1396.22</c:v>
                </c:pt>
                <c:pt idx="74">
                  <c:v>3199.65</c:v>
                </c:pt>
                <c:pt idx="75">
                  <c:v>1108.81</c:v>
                </c:pt>
                <c:pt idx="76">
                  <c:v>1182.83</c:v>
                </c:pt>
                <c:pt idx="77">
                  <c:v>2389.4899999999998</c:v>
                </c:pt>
                <c:pt idx="78">
                  <c:v>1278.1099999999999</c:v>
                </c:pt>
                <c:pt idx="79">
                  <c:v>17893.77</c:v>
                </c:pt>
                <c:pt idx="80">
                  <c:v>766.07</c:v>
                </c:pt>
                <c:pt idx="81">
                  <c:v>6316.79</c:v>
                </c:pt>
                <c:pt idx="82">
                  <c:v>10210.5</c:v>
                </c:pt>
                <c:pt idx="83">
                  <c:v>2709.67</c:v>
                </c:pt>
                <c:pt idx="84">
                  <c:v>1967.47</c:v>
                </c:pt>
                <c:pt idx="85">
                  <c:v>4803.3</c:v>
                </c:pt>
                <c:pt idx="86">
                  <c:v>2044.85</c:v>
                </c:pt>
                <c:pt idx="87">
                  <c:v>1498.69</c:v>
                </c:pt>
                <c:pt idx="88">
                  <c:v>2418.15</c:v>
                </c:pt>
                <c:pt idx="89">
                  <c:v>1309.6199999999999</c:v>
                </c:pt>
                <c:pt idx="90">
                  <c:v>1441.37</c:v>
                </c:pt>
                <c:pt idx="91">
                  <c:v>11124.64</c:v>
                </c:pt>
                <c:pt idx="92">
                  <c:v>2868.52</c:v>
                </c:pt>
                <c:pt idx="93">
                  <c:v>4957.71</c:v>
                </c:pt>
                <c:pt idx="94">
                  <c:v>1635.43</c:v>
                </c:pt>
                <c:pt idx="95">
                  <c:v>915.2</c:v>
                </c:pt>
                <c:pt idx="96">
                  <c:v>2250.54</c:v>
                </c:pt>
                <c:pt idx="97">
                  <c:v>936.32</c:v>
                </c:pt>
                <c:pt idx="98">
                  <c:v>4918.29</c:v>
                </c:pt>
                <c:pt idx="99">
                  <c:v>260.77999999999997</c:v>
                </c:pt>
                <c:pt idx="100">
                  <c:v>3148.32</c:v>
                </c:pt>
                <c:pt idx="101">
                  <c:v>907.62</c:v>
                </c:pt>
                <c:pt idx="102">
                  <c:v>924.98</c:v>
                </c:pt>
                <c:pt idx="103">
                  <c:v>5173.8599999999997</c:v>
                </c:pt>
                <c:pt idx="104">
                  <c:v>6764.14</c:v>
                </c:pt>
                <c:pt idx="105">
                  <c:v>8251.49</c:v>
                </c:pt>
                <c:pt idx="106">
                  <c:v>1460.69</c:v>
                </c:pt>
                <c:pt idx="107">
                  <c:v>12538.28</c:v>
                </c:pt>
                <c:pt idx="108">
                  <c:v>235.62</c:v>
                </c:pt>
                <c:pt idx="109">
                  <c:v>839.3</c:v>
                </c:pt>
                <c:pt idx="110">
                  <c:v>1436.25</c:v>
                </c:pt>
                <c:pt idx="111">
                  <c:v>3454.85</c:v>
                </c:pt>
                <c:pt idx="112">
                  <c:v>5286.63</c:v>
                </c:pt>
                <c:pt idx="113">
                  <c:v>982.43</c:v>
                </c:pt>
                <c:pt idx="114">
                  <c:v>905.55</c:v>
                </c:pt>
                <c:pt idx="115">
                  <c:v>1062.1099999999999</c:v>
                </c:pt>
                <c:pt idx="116">
                  <c:v>998.8</c:v>
                </c:pt>
                <c:pt idx="117">
                  <c:v>2620.5</c:v>
                </c:pt>
                <c:pt idx="118">
                  <c:v>505.56</c:v>
                </c:pt>
                <c:pt idx="119">
                  <c:v>1737.02</c:v>
                </c:pt>
                <c:pt idx="120">
                  <c:v>1995.56</c:v>
                </c:pt>
                <c:pt idx="121">
                  <c:v>1934.62</c:v>
                </c:pt>
                <c:pt idx="122">
                  <c:v>451.43</c:v>
                </c:pt>
                <c:pt idx="123">
                  <c:v>561.91999999999996</c:v>
                </c:pt>
                <c:pt idx="124">
                  <c:v>961.84</c:v>
                </c:pt>
                <c:pt idx="125">
                  <c:v>253.49</c:v>
                </c:pt>
                <c:pt idx="126">
                  <c:v>23730.55</c:v>
                </c:pt>
                <c:pt idx="127">
                  <c:v>2420.86</c:v>
                </c:pt>
                <c:pt idx="128">
                  <c:v>5810.3</c:v>
                </c:pt>
                <c:pt idx="129">
                  <c:v>1072.42</c:v>
                </c:pt>
                <c:pt idx="130">
                  <c:v>2371.69</c:v>
                </c:pt>
                <c:pt idx="131">
                  <c:v>3090.82</c:v>
                </c:pt>
                <c:pt idx="132">
                  <c:v>5688.19</c:v>
                </c:pt>
                <c:pt idx="133">
                  <c:v>1245.17</c:v>
                </c:pt>
                <c:pt idx="134">
                  <c:v>1911.36</c:v>
                </c:pt>
                <c:pt idx="135">
                  <c:v>2133.27</c:v>
                </c:pt>
                <c:pt idx="136">
                  <c:v>302.57</c:v>
                </c:pt>
                <c:pt idx="137">
                  <c:v>6023.99</c:v>
                </c:pt>
                <c:pt idx="138">
                  <c:v>874.36</c:v>
                </c:pt>
                <c:pt idx="139">
                  <c:v>483.29</c:v>
                </c:pt>
                <c:pt idx="140">
                  <c:v>1675.43</c:v>
                </c:pt>
                <c:pt idx="141">
                  <c:v>274.26</c:v>
                </c:pt>
                <c:pt idx="142">
                  <c:v>2855.69</c:v>
                </c:pt>
                <c:pt idx="143">
                  <c:v>8620.2999999999993</c:v>
                </c:pt>
                <c:pt idx="144">
                  <c:v>2888.77</c:v>
                </c:pt>
                <c:pt idx="145">
                  <c:v>762.55</c:v>
                </c:pt>
                <c:pt idx="146">
                  <c:v>1420.56</c:v>
                </c:pt>
                <c:pt idx="147">
                  <c:v>5764.65</c:v>
                </c:pt>
                <c:pt idx="148">
                  <c:v>2321.35</c:v>
                </c:pt>
                <c:pt idx="149">
                  <c:v>5711.2</c:v>
                </c:pt>
                <c:pt idx="150">
                  <c:v>3747.74</c:v>
                </c:pt>
                <c:pt idx="151">
                  <c:v>428.53</c:v>
                </c:pt>
                <c:pt idx="152">
                  <c:v>6869.27</c:v>
                </c:pt>
                <c:pt idx="153">
                  <c:v>6843.94</c:v>
                </c:pt>
                <c:pt idx="154">
                  <c:v>3704.45</c:v>
                </c:pt>
                <c:pt idx="155">
                  <c:v>451.48</c:v>
                </c:pt>
                <c:pt idx="156">
                  <c:v>1153.5999999999999</c:v>
                </c:pt>
                <c:pt idx="157">
                  <c:v>6338.43</c:v>
                </c:pt>
                <c:pt idx="158">
                  <c:v>858.98</c:v>
                </c:pt>
                <c:pt idx="159">
                  <c:v>1847.89</c:v>
                </c:pt>
                <c:pt idx="160">
                  <c:v>3117.79</c:v>
                </c:pt>
                <c:pt idx="161">
                  <c:v>971.99</c:v>
                </c:pt>
                <c:pt idx="162">
                  <c:v>1421.12</c:v>
                </c:pt>
                <c:pt idx="163">
                  <c:v>1815.75</c:v>
                </c:pt>
                <c:pt idx="164">
                  <c:v>1172.78</c:v>
                </c:pt>
                <c:pt idx="165">
                  <c:v>1866.28</c:v>
                </c:pt>
                <c:pt idx="166">
                  <c:v>7367.87</c:v>
                </c:pt>
                <c:pt idx="167">
                  <c:v>561.79999999999995</c:v>
                </c:pt>
                <c:pt idx="168">
                  <c:v>4573.16</c:v>
                </c:pt>
                <c:pt idx="169">
                  <c:v>2955.79</c:v>
                </c:pt>
                <c:pt idx="170">
                  <c:v>2204.16</c:v>
                </c:pt>
                <c:pt idx="171">
                  <c:v>253.97</c:v>
                </c:pt>
                <c:pt idx="172">
                  <c:v>2406.86</c:v>
                </c:pt>
                <c:pt idx="173">
                  <c:v>1082.32</c:v>
                </c:pt>
                <c:pt idx="174">
                  <c:v>281.97000000000003</c:v>
                </c:pt>
                <c:pt idx="175">
                  <c:v>4848.53</c:v>
                </c:pt>
                <c:pt idx="176">
                  <c:v>1094.75</c:v>
                </c:pt>
                <c:pt idx="177">
                  <c:v>2867.28</c:v>
                </c:pt>
                <c:pt idx="178">
                  <c:v>2252.79</c:v>
                </c:pt>
                <c:pt idx="179">
                  <c:v>510.66</c:v>
                </c:pt>
                <c:pt idx="180">
                  <c:v>976.53</c:v>
                </c:pt>
                <c:pt idx="181">
                  <c:v>1865.79</c:v>
                </c:pt>
                <c:pt idx="182">
                  <c:v>2888.04</c:v>
                </c:pt>
                <c:pt idx="183">
                  <c:v>791.37</c:v>
                </c:pt>
                <c:pt idx="184">
                  <c:v>1157.96</c:v>
                </c:pt>
                <c:pt idx="185">
                  <c:v>1240.06</c:v>
                </c:pt>
                <c:pt idx="186">
                  <c:v>1920.98</c:v>
                </c:pt>
                <c:pt idx="187">
                  <c:v>1293.3599999999999</c:v>
                </c:pt>
                <c:pt idx="188">
                  <c:v>5620.14</c:v>
                </c:pt>
                <c:pt idx="189">
                  <c:v>1926.83</c:v>
                </c:pt>
                <c:pt idx="190">
                  <c:v>2369.9699999999998</c:v>
                </c:pt>
                <c:pt idx="191">
                  <c:v>1447.98</c:v>
                </c:pt>
                <c:pt idx="192">
                  <c:v>2158.29</c:v>
                </c:pt>
                <c:pt idx="193">
                  <c:v>583.54999999999995</c:v>
                </c:pt>
                <c:pt idx="194">
                  <c:v>1824.34</c:v>
                </c:pt>
                <c:pt idx="195">
                  <c:v>604.9</c:v>
                </c:pt>
                <c:pt idx="196">
                  <c:v>8216.75</c:v>
                </c:pt>
                <c:pt idx="197">
                  <c:v>5487.29</c:v>
                </c:pt>
                <c:pt idx="198">
                  <c:v>753.67</c:v>
                </c:pt>
                <c:pt idx="199">
                  <c:v>1467.16</c:v>
                </c:pt>
                <c:pt idx="200">
                  <c:v>1609.71</c:v>
                </c:pt>
                <c:pt idx="201">
                  <c:v>8111.38</c:v>
                </c:pt>
                <c:pt idx="202">
                  <c:v>6224.26</c:v>
                </c:pt>
                <c:pt idx="203">
                  <c:v>13343.86</c:v>
                </c:pt>
                <c:pt idx="204">
                  <c:v>801.69</c:v>
                </c:pt>
                <c:pt idx="205">
                  <c:v>14690.9</c:v>
                </c:pt>
                <c:pt idx="206">
                  <c:v>225.99</c:v>
                </c:pt>
                <c:pt idx="207">
                  <c:v>6803.42</c:v>
                </c:pt>
                <c:pt idx="208">
                  <c:v>6841.53</c:v>
                </c:pt>
                <c:pt idx="209">
                  <c:v>2370.9499999999998</c:v>
                </c:pt>
                <c:pt idx="210">
                  <c:v>8480.77</c:v>
                </c:pt>
                <c:pt idx="211">
                  <c:v>668.74</c:v>
                </c:pt>
                <c:pt idx="212">
                  <c:v>1634.7</c:v>
                </c:pt>
                <c:pt idx="213">
                  <c:v>4089.59</c:v>
                </c:pt>
                <c:pt idx="214">
                  <c:v>2096.94</c:v>
                </c:pt>
                <c:pt idx="215">
                  <c:v>657.24</c:v>
                </c:pt>
                <c:pt idx="216">
                  <c:v>2110.54</c:v>
                </c:pt>
                <c:pt idx="217">
                  <c:v>3489.25</c:v>
                </c:pt>
                <c:pt idx="218">
                  <c:v>451.51</c:v>
                </c:pt>
                <c:pt idx="219">
                  <c:v>1696.8</c:v>
                </c:pt>
                <c:pt idx="220">
                  <c:v>2917.94</c:v>
                </c:pt>
                <c:pt idx="221">
                  <c:v>4613.54</c:v>
                </c:pt>
                <c:pt idx="222">
                  <c:v>573.24</c:v>
                </c:pt>
                <c:pt idx="223">
                  <c:v>5421.68</c:v>
                </c:pt>
                <c:pt idx="224">
                  <c:v>6292.17</c:v>
                </c:pt>
                <c:pt idx="225">
                  <c:v>313.82</c:v>
                </c:pt>
                <c:pt idx="226">
                  <c:v>6037.99</c:v>
                </c:pt>
                <c:pt idx="227">
                  <c:v>8012.33</c:v>
                </c:pt>
                <c:pt idx="228">
                  <c:v>704.2</c:v>
                </c:pt>
                <c:pt idx="229">
                  <c:v>4287.8900000000003</c:v>
                </c:pt>
                <c:pt idx="230">
                  <c:v>1156.28</c:v>
                </c:pt>
                <c:pt idx="231">
                  <c:v>994.32</c:v>
                </c:pt>
                <c:pt idx="232">
                  <c:v>4690.9399999999996</c:v>
                </c:pt>
                <c:pt idx="233">
                  <c:v>15346.33</c:v>
                </c:pt>
                <c:pt idx="234">
                  <c:v>2727.15</c:v>
                </c:pt>
                <c:pt idx="235">
                  <c:v>2968.13</c:v>
                </c:pt>
                <c:pt idx="236">
                  <c:v>2703.74</c:v>
                </c:pt>
                <c:pt idx="237">
                  <c:v>729.95</c:v>
                </c:pt>
                <c:pt idx="238">
                  <c:v>3752.61</c:v>
                </c:pt>
                <c:pt idx="239">
                  <c:v>6845.06</c:v>
                </c:pt>
                <c:pt idx="240">
                  <c:v>3612.77</c:v>
                </c:pt>
                <c:pt idx="241">
                  <c:v>5832.68</c:v>
                </c:pt>
                <c:pt idx="242">
                  <c:v>295.63</c:v>
                </c:pt>
                <c:pt idx="243">
                  <c:v>241.89</c:v>
                </c:pt>
                <c:pt idx="244">
                  <c:v>4189.63</c:v>
                </c:pt>
                <c:pt idx="245">
                  <c:v>1666.38</c:v>
                </c:pt>
                <c:pt idx="246">
                  <c:v>948.25</c:v>
                </c:pt>
                <c:pt idx="247">
                  <c:v>4838.5600000000004</c:v>
                </c:pt>
                <c:pt idx="248">
                  <c:v>1246.08</c:v>
                </c:pt>
                <c:pt idx="249">
                  <c:v>1146.8399999999999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4F-4046-AC72-20608114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43985"/>
        <c:axId val="1029202"/>
      </c:scatterChart>
      <c:valAx>
        <c:axId val="624439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9202"/>
        <c:crosses val="autoZero"/>
        <c:crossBetween val="midCat"/>
      </c:valAx>
      <c:valAx>
        <c:axId val="1029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439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5</xdr:col>
      <xdr:colOff>120600</xdr:colOff>
      <xdr:row>35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486360</xdr:colOff>
      <xdr:row>35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5</xdr:col>
      <xdr:colOff>120600</xdr:colOff>
      <xdr:row>52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37</xdr:row>
      <xdr:rowOff>0</xdr:rowOff>
    </xdr:from>
    <xdr:to>
      <xdr:col>14</xdr:col>
      <xdr:colOff>486360</xdr:colOff>
      <xdr:row>52</xdr:row>
      <xdr:rowOff>21600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5</xdr:col>
      <xdr:colOff>770040</xdr:colOff>
      <xdr:row>43</xdr:row>
      <xdr:rowOff>170280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18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26" customWidth="1"/>
    <col min="2" max="2" width="15" customWidth="1"/>
    <col min="3" max="3" width="13" customWidth="1"/>
    <col min="4" max="4" width="12" customWidth="1"/>
    <col min="5" max="5" width="14" customWidth="1"/>
    <col min="6" max="6" width="3" customWidth="1"/>
    <col min="7" max="7" width="5" customWidth="1"/>
    <col min="8" max="8" width="18" customWidth="1"/>
    <col min="9" max="10" width="14" customWidth="1"/>
    <col min="11" max="11" width="8" customWidth="1"/>
  </cols>
  <sheetData>
    <row r="1" spans="1:11" ht="30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4" t="str">
        <f ca="1">"Data as of "&amp;TEXT(TODAY(),"dd mmm yyyy")&amp;"  |  Dataset: "&amp;COUNT('Final Project Dataset'!$B$2:$B$251)&amp;" transactions"</f>
        <v>Data as of 30 Oct 2026  |  Dataset: 250 transactions</v>
      </c>
    </row>
    <row r="3" spans="1:11" x14ac:dyDescent="0.3">
      <c r="A3" s="5" t="s">
        <v>1</v>
      </c>
      <c r="B3" s="6" t="s">
        <v>51</v>
      </c>
      <c r="C3" s="4" t="s">
        <v>3</v>
      </c>
    </row>
    <row r="4" spans="1:11" x14ac:dyDescent="0.3">
      <c r="A4" s="5" t="s">
        <v>4</v>
      </c>
      <c r="B4" s="6" t="s">
        <v>40</v>
      </c>
    </row>
    <row r="5" spans="1:11" x14ac:dyDescent="0.3">
      <c r="A5" s="5" t="s">
        <v>5</v>
      </c>
      <c r="B5" s="7">
        <v>45658</v>
      </c>
    </row>
    <row r="6" spans="1:11" x14ac:dyDescent="0.3">
      <c r="A6" s="5" t="s">
        <v>6</v>
      </c>
      <c r="B6" s="7">
        <v>46022</v>
      </c>
    </row>
    <row r="7" spans="1:11" x14ac:dyDescent="0.3">
      <c r="G7" s="5" t="s">
        <v>7</v>
      </c>
    </row>
    <row r="8" spans="1:11" x14ac:dyDescent="0.3">
      <c r="A8" s="8" t="s">
        <v>8</v>
      </c>
      <c r="B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</row>
    <row r="9" spans="1:11" x14ac:dyDescent="0.3">
      <c r="A9" s="9" t="s">
        <v>15</v>
      </c>
      <c r="B9" s="10">
        <f>Pivot_Tables!B15</f>
        <v>89673</v>
      </c>
      <c r="G9" s="11">
        <f>High_Value_Customers!M8</f>
        <v>1</v>
      </c>
      <c r="H9" s="12" t="str">
        <f>High_Value_Customers!N8</f>
        <v>Aditya Kapoor</v>
      </c>
      <c r="I9" s="13">
        <f>High_Value_Customers!O8</f>
        <v>321673</v>
      </c>
      <c r="J9" s="13">
        <f>High_Value_Customers!P8</f>
        <v>53148.24</v>
      </c>
      <c r="K9" s="14">
        <f>High_Value_Customers!Q8</f>
        <v>6</v>
      </c>
    </row>
    <row r="10" spans="1:11" x14ac:dyDescent="0.3">
      <c r="A10" s="9" t="s">
        <v>16</v>
      </c>
      <c r="B10" s="10">
        <f>Pivot_Tables!C15</f>
        <v>15915.68</v>
      </c>
      <c r="G10" s="11">
        <f>High_Value_Customers!M9</f>
        <v>2</v>
      </c>
      <c r="H10" s="12" t="str">
        <f>High_Value_Customers!N9</f>
        <v>Aditya Mehta</v>
      </c>
      <c r="I10" s="13">
        <f>High_Value_Customers!O9</f>
        <v>249362</v>
      </c>
      <c r="J10" s="13">
        <f>High_Value_Customers!P9</f>
        <v>29285.42</v>
      </c>
      <c r="K10" s="14">
        <f>High_Value_Customers!Q9</f>
        <v>6</v>
      </c>
    </row>
    <row r="11" spans="1:11" x14ac:dyDescent="0.3">
      <c r="A11" s="9" t="s">
        <v>17</v>
      </c>
      <c r="B11" s="15">
        <f>Pivot_Tables!D15</f>
        <v>3</v>
      </c>
      <c r="G11" s="11">
        <f>High_Value_Customers!M10</f>
        <v>3</v>
      </c>
      <c r="H11" s="12" t="str">
        <f>High_Value_Customers!N10</f>
        <v>Riya Reddy</v>
      </c>
      <c r="I11" s="13">
        <f>High_Value_Customers!O10</f>
        <v>237530</v>
      </c>
      <c r="J11" s="13">
        <f>High_Value_Customers!P10</f>
        <v>34908.449999999997</v>
      </c>
      <c r="K11" s="14">
        <f>High_Value_Customers!Q10</f>
        <v>8</v>
      </c>
    </row>
    <row r="12" spans="1:11" x14ac:dyDescent="0.3">
      <c r="A12" s="9" t="s">
        <v>18</v>
      </c>
      <c r="B12" s="15">
        <f>Pivot_Tables!E15</f>
        <v>11</v>
      </c>
      <c r="G12" s="11">
        <f>High_Value_Customers!M11</f>
        <v>4</v>
      </c>
      <c r="H12" s="12" t="str">
        <f>High_Value_Customers!N11</f>
        <v>Priya Iyer</v>
      </c>
      <c r="I12" s="13">
        <f>High_Value_Customers!O11</f>
        <v>173827</v>
      </c>
      <c r="J12" s="13">
        <f>High_Value_Customers!P11</f>
        <v>28056.649999999998</v>
      </c>
      <c r="K12" s="14">
        <f>High_Value_Customers!Q11</f>
        <v>4</v>
      </c>
    </row>
    <row r="13" spans="1:11" x14ac:dyDescent="0.3">
      <c r="G13" s="11">
        <f>High_Value_Customers!M12</f>
        <v>5</v>
      </c>
      <c r="H13" s="12" t="str">
        <f>High_Value_Customers!N12</f>
        <v>Vihaan Mehta</v>
      </c>
      <c r="I13" s="13">
        <f>High_Value_Customers!O12</f>
        <v>153202</v>
      </c>
      <c r="J13" s="13">
        <f>High_Value_Customers!P12</f>
        <v>22319.83</v>
      </c>
      <c r="K13" s="14">
        <f>High_Value_Customers!Q12</f>
        <v>7</v>
      </c>
    </row>
    <row r="14" spans="1:11" x14ac:dyDescent="0.3">
      <c r="A14" s="8" t="s">
        <v>19</v>
      </c>
      <c r="B14" s="8" t="s">
        <v>20</v>
      </c>
      <c r="C14" s="8" t="s">
        <v>21</v>
      </c>
      <c r="D14" s="8" t="s">
        <v>22</v>
      </c>
      <c r="E14" s="8" t="s">
        <v>23</v>
      </c>
    </row>
    <row r="15" spans="1:11" x14ac:dyDescent="0.3">
      <c r="A15" s="9" t="s">
        <v>24</v>
      </c>
      <c r="B15" s="16">
        <f>IF(B9=0,0,B10/B9)</f>
        <v>0.17748575379434167</v>
      </c>
      <c r="C15" s="17">
        <v>0.16</v>
      </c>
      <c r="D15" s="18">
        <f>IFERROR(B15/C15-1,0)</f>
        <v>0.10928596121463552</v>
      </c>
      <c r="E15" s="11" t="str">
        <f>IF(D15&gt;=0,"On target",IF(D15&gt;=-0.02,"Watch","Below target"))</f>
        <v>On target</v>
      </c>
    </row>
    <row r="16" spans="1:11" x14ac:dyDescent="0.3">
      <c r="A16" s="9" t="s">
        <v>25</v>
      </c>
      <c r="B16" s="13">
        <f>IF(B11=0,0,B9/B11)</f>
        <v>29891</v>
      </c>
      <c r="C16" s="19">
        <v>20000</v>
      </c>
      <c r="D16" s="18">
        <f>IFERROR(B16/C16-1,0)</f>
        <v>0.49455000000000005</v>
      </c>
      <c r="E16" s="11" t="str">
        <f>IF(D16&gt;=0,"On target",IF(D16&gt;=-0.02,"Watch","Below target"))</f>
        <v>On target</v>
      </c>
    </row>
    <row r="17" spans="1:5" x14ac:dyDescent="0.3">
      <c r="A17" s="9" t="s">
        <v>26</v>
      </c>
      <c r="B17" s="13">
        <f>IF(B11=0,0,B10/B11)</f>
        <v>5305.2266666666665</v>
      </c>
      <c r="C17" s="19">
        <v>3000</v>
      </c>
      <c r="D17" s="18">
        <f>IFERROR(B17/C17-1,0)</f>
        <v>0.76840888888888892</v>
      </c>
      <c r="E17" s="11" t="str">
        <f>IF(D17&gt;=0,"On target",IF(D17&gt;=-0.02,"Watch","Below target"))</f>
        <v>On target</v>
      </c>
    </row>
    <row r="18" spans="1:5" x14ac:dyDescent="0.3">
      <c r="A18" s="9" t="s">
        <v>27</v>
      </c>
      <c r="B18" s="20">
        <f>IF(B11=0,0,B12/B11)</f>
        <v>3.6666666666666665</v>
      </c>
      <c r="C18" s="21">
        <v>2</v>
      </c>
      <c r="D18" s="18">
        <f>IFERROR(B18/C18-1,0)</f>
        <v>0.83333333333333326</v>
      </c>
      <c r="E18" s="11" t="str">
        <f>IF(D18&gt;=0,"On target",IF(D18&gt;=-0.02,"Watch","Below target"))</f>
        <v>On target</v>
      </c>
    </row>
  </sheetData>
  <mergeCells count="1">
    <mergeCell ref="A1:K1"/>
  </mergeCells>
  <conditionalFormatting sqref="D15:D18">
    <cfRule type="iconSet" priority="2">
      <iconSet iconSet="3Arrows">
        <cfvo type="num" val="-9"/>
        <cfvo type="num" val="-0.02"/>
        <cfvo type="num" val="0"/>
      </iconSet>
    </cfRule>
  </conditionalFormatting>
  <conditionalFormatting sqref="E15:E18">
    <cfRule type="expression" dxfId="6" priority="3">
      <formula>$E15="On target"</formula>
    </cfRule>
    <cfRule type="expression" dxfId="5" priority="4">
      <formula>$E15="Watch"</formula>
    </cfRule>
    <cfRule type="expression" dxfId="4" priority="5">
      <formula>$E15="Below target"</formula>
    </cfRule>
  </conditionalFormatting>
  <dataValidations count="3">
    <dataValidation type="list" sqref="B3" xr:uid="{00000000-0002-0000-0000-000000000000}">
      <formula1>"All,North,South,East,West,Central"</formula1>
      <formula2>0</formula2>
    </dataValidation>
    <dataValidation type="list" sqref="B4" xr:uid="{00000000-0002-0000-0000-000001000000}">
      <formula1>"All,Laptop,Smartphone,Monitor,Tablet,Smartwatch,Printer,Headphones,Webcam,Keyboard,Mouse"</formula1>
      <formula2>0</formula2>
    </dataValidation>
    <dataValidation type="date" sqref="B5:B6" xr:uid="{00000000-0002-0000-0000-000002000000}">
      <formula1>45658</formula1>
      <formula2>46387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M45"/>
  <sheetViews>
    <sheetView showGridLines="0" topLeftCell="A32" zoomScaleNormal="100" workbookViewId="0"/>
  </sheetViews>
  <sheetFormatPr defaultColWidth="8.6640625" defaultRowHeight="14.4" x14ac:dyDescent="0.3"/>
  <cols>
    <col min="1" max="1" width="2" customWidth="1"/>
    <col min="2" max="8" width="15" customWidth="1"/>
    <col min="9" max="9" width="3" customWidth="1"/>
    <col min="10" max="10" width="16" customWidth="1"/>
    <col min="11" max="12" width="14" customWidth="1"/>
    <col min="13" max="13" width="11" customWidth="1"/>
  </cols>
  <sheetData>
    <row r="1" spans="2:13" ht="33.75" customHeight="1" x14ac:dyDescent="0.3">
      <c r="B1" s="3" t="s">
        <v>28</v>
      </c>
      <c r="C1" s="3"/>
      <c r="D1" s="3"/>
      <c r="E1" s="3"/>
      <c r="F1" s="3"/>
      <c r="G1" s="3"/>
      <c r="H1" s="3"/>
    </row>
    <row r="2" spans="2:13" x14ac:dyDescent="0.3">
      <c r="B2" s="4" t="str">
        <f ca="1">"Prepared "&amp;TEXT(TODAY(),"dd mmmm yyyy")&amp;"  |  All figures below are live formulas over the dataset"</f>
        <v>Prepared 30 October 2026  |  All figures below are live formulas over the dataset</v>
      </c>
    </row>
    <row r="3" spans="2:13" x14ac:dyDescent="0.3">
      <c r="J3" s="5" t="s">
        <v>29</v>
      </c>
    </row>
    <row r="4" spans="2:13" ht="19.5" customHeight="1" x14ac:dyDescent="0.3">
      <c r="B4" s="2" t="s">
        <v>30</v>
      </c>
      <c r="C4" s="2"/>
      <c r="D4" s="2"/>
      <c r="E4" s="2"/>
      <c r="F4" s="2"/>
      <c r="G4" s="2"/>
      <c r="H4" s="2"/>
      <c r="J4" s="8" t="s">
        <v>31</v>
      </c>
      <c r="K4" s="8" t="s">
        <v>32</v>
      </c>
      <c r="L4" s="8" t="s">
        <v>33</v>
      </c>
      <c r="M4" s="8" t="s">
        <v>34</v>
      </c>
    </row>
    <row r="5" spans="2:13" ht="57.75" customHeight="1" x14ac:dyDescent="0.3">
      <c r="B5" s="1" t="str">
        <f>"Between "&amp;TEXT(MIN('Final Project Dataset'!$B$2:$B$251),"d mmm yyyy")&amp;" and "&amp;TEXT(MAX('Final Project Dataset'!$B$2:$B$251),"d mmm yyyy")&amp;", "&amp;COUNT('Final Project Dataset'!$B$2:$B$251)&amp;" transactions from "&amp;COUNTA(High_Value_Customers!$A$8:$A$86)&amp;" customers generated ₹"&amp;TEXT(SUM('Final Project Dataset'!$F$2:$F$251),"#,##0")&amp;" in sales and ₹"&amp;TEXT(SUM('Final Project Dataset'!$H$2:$H$251),"#,##0")&amp;" in profit, a blended margin of "&amp;TEXT(SUM('Final Project Dataset'!$H$2:$H$251)/SUM('Final Project Dataset'!$F$2:$F$251),"0.0%")&amp;". The average basket is ₹"&amp;TEXT(SUM('Final Project Dataset'!$F$2:$F$251)/COUNT('Final Project Dataset'!$B$2:$B$251),"#,##0")&amp;" with "&amp;TEXT(SUM('Final Project Dataset'!$D$2:$D$251)/COUNT('Final Project Dataset'!$B$2:$B$251),"0.0")&amp;" units per order."</f>
        <v>Between 1 Jan 2025 and 30 Dec 2025, 250 transactions from 79 customers generated ₹5,262,053 in sales and ₹800,178 in profit, a blended margin of 15.2%. The average basket is ₹21,048 with 1.9 units per order.</v>
      </c>
      <c r="C5" s="1"/>
      <c r="D5" s="1"/>
      <c r="E5" s="1"/>
      <c r="F5" s="1"/>
      <c r="G5" s="1"/>
      <c r="H5" s="1"/>
      <c r="J5" s="22" t="s">
        <v>35</v>
      </c>
      <c r="K5" s="23">
        <f>SUMIF('Final Project Dataset'!$C$2:$C$251,J5,'Final Project Dataset'!$F$2:$F$251)</f>
        <v>1391226</v>
      </c>
      <c r="L5" s="23">
        <f>SUMIF('Final Project Dataset'!$C$2:$C$251,J5,'Final Project Dataset'!$H$2:$H$251)</f>
        <v>203150.95</v>
      </c>
      <c r="M5" s="24">
        <f t="shared" ref="M5:M14" si="0">L5/K5</f>
        <v>0.1460229682308985</v>
      </c>
    </row>
    <row r="6" spans="2:13" x14ac:dyDescent="0.3">
      <c r="J6" s="22" t="s">
        <v>36</v>
      </c>
      <c r="K6" s="23">
        <f>SUMIF('Final Project Dataset'!$C$2:$C$251,J6,'Final Project Dataset'!$F$2:$F$251)</f>
        <v>969135</v>
      </c>
      <c r="L6" s="23">
        <f>SUMIF('Final Project Dataset'!$C$2:$C$251,J6,'Final Project Dataset'!$H$2:$H$251)</f>
        <v>113001.97</v>
      </c>
      <c r="M6" s="24">
        <f t="shared" si="0"/>
        <v>0.11660085540198219</v>
      </c>
    </row>
    <row r="7" spans="2:13" ht="19.5" customHeight="1" x14ac:dyDescent="0.3">
      <c r="B7" s="2" t="s">
        <v>37</v>
      </c>
      <c r="C7" s="2"/>
      <c r="D7" s="2"/>
      <c r="E7" s="2"/>
      <c r="F7" s="2"/>
      <c r="G7" s="2"/>
      <c r="H7" s="2"/>
      <c r="J7" s="22" t="s">
        <v>38</v>
      </c>
      <c r="K7" s="23">
        <f>SUMIF('Final Project Dataset'!$C$2:$C$251,J7,'Final Project Dataset'!$F$2:$F$251)</f>
        <v>839029</v>
      </c>
      <c r="L7" s="23">
        <f>SUMIF('Final Project Dataset'!$C$2:$C$251,J7,'Final Project Dataset'!$H$2:$H$251)</f>
        <v>131567.18</v>
      </c>
      <c r="M7" s="24">
        <f t="shared" si="0"/>
        <v>0.15680885881179316</v>
      </c>
    </row>
    <row r="8" spans="2:13" ht="43.5" customHeight="1" x14ac:dyDescent="0.3">
      <c r="B8" s="1" t="str">
        <f>"Revenue is concentrated in a few big-ticket items: "&amp;INDEX(J5:J14,MATCH(MAX(K5:K14),K5:K14,0))&amp;" leads with ₹"&amp;TEXT(MAX(K5:K14),"#,##0")&amp;" ("&amp;TEXT(MAX(K5:K14)/SUM(K5:K14),"0.0%")&amp;" of sales), and the top three products together bring in "&amp;TEXT(LARGE(K5:K14,1)/SUM(K5:K14)+LARGE(K5:K14,2)/SUM(K5:K14)+LARGE(K5:K14,3)/SUM(K5:K14),"0.0%")&amp;" of revenue."</f>
        <v>Revenue is concentrated in a few big-ticket items: Laptop leads with ₹1,391,226 (26.4% of sales), and the top three products together bring in 60.8% of revenue.</v>
      </c>
      <c r="C8" s="1"/>
      <c r="D8" s="1"/>
      <c r="E8" s="1"/>
      <c r="F8" s="1"/>
      <c r="G8" s="1"/>
      <c r="H8" s="1"/>
      <c r="J8" s="22" t="s">
        <v>39</v>
      </c>
      <c r="K8" s="23">
        <f>SUMIF('Final Project Dataset'!$C$2:$C$251,J8,'Final Project Dataset'!$F$2:$F$251)</f>
        <v>812944</v>
      </c>
      <c r="L8" s="23">
        <f>SUMIF('Final Project Dataset'!$C$2:$C$251,J8,'Final Project Dataset'!$H$2:$H$251)</f>
        <v>97842.310000000012</v>
      </c>
      <c r="M8" s="24">
        <f t="shared" si="0"/>
        <v>0.12035553494459644</v>
      </c>
    </row>
    <row r="9" spans="2:13" ht="57.75" customHeight="1" x14ac:dyDescent="0.3">
      <c r="B9" s="1" t="str">
        <f>"Margin tells a different story: "&amp;INDEX(J5:J14,MATCH(MAX(M5:M14),M5:M14,0))&amp;" earns the best margin ("&amp;TEXT(MAX(M5:M14),"0.0%")&amp;") while "&amp;INDEX(J5:J14,MATCH(MIN(M5:M14),M5:M14,0))&amp;" earns the lowest ("&amp;TEXT(MIN(M5:M14),"0.0%")&amp;"). "&amp;IF(ISNUMBER(FIND(",",Frequency_Match!B15)),"The most frequently purchased products are "&amp;Frequency_Match!B15&amp;" (tied at "&amp;Frequency_Match!B16&amp;" transactions each)","The most frequently purchased product is "&amp;Frequency_Match!B15&amp;" ("&amp;Frequency_Match!B16&amp;" transactions)")&amp;", so purchase frequency and revenue are driven by different items."</f>
        <v>Margin tells a different story: Mouse earns the best margin (29.5%) while Smartphone earns the lowest (11.7%). The most frequently purchased products are Monitor, Headphones (tied at 30 transactions each), so purchase frequency and revenue are driven by different items.</v>
      </c>
      <c r="C9" s="1"/>
      <c r="D9" s="1"/>
      <c r="E9" s="1"/>
      <c r="F9" s="1"/>
      <c r="G9" s="1"/>
      <c r="H9" s="1"/>
      <c r="J9" s="22" t="s">
        <v>40</v>
      </c>
      <c r="K9" s="23">
        <f>SUMIF('Final Project Dataset'!$C$2:$C$251,J9,'Final Project Dataset'!$F$2:$F$251)</f>
        <v>451804</v>
      </c>
      <c r="L9" s="23">
        <f>SUMIF('Final Project Dataset'!$C$2:$C$251,J9,'Final Project Dataset'!$H$2:$H$251)</f>
        <v>80562.490000000005</v>
      </c>
      <c r="M9" s="24">
        <f t="shared" si="0"/>
        <v>0.17831291887632691</v>
      </c>
    </row>
    <row r="10" spans="2:13" x14ac:dyDescent="0.3">
      <c r="J10" s="22" t="s">
        <v>41</v>
      </c>
      <c r="K10" s="23">
        <f>SUMIF('Final Project Dataset'!$C$2:$C$251,J10,'Final Project Dataset'!$F$2:$F$251)</f>
        <v>323199</v>
      </c>
      <c r="L10" s="23">
        <f>SUMIF('Final Project Dataset'!$C$2:$C$251,J10,'Final Project Dataset'!$H$2:$H$251)</f>
        <v>53932.619999999995</v>
      </c>
      <c r="M10" s="24">
        <f t="shared" si="0"/>
        <v>0.16687124650756963</v>
      </c>
    </row>
    <row r="11" spans="2:13" ht="19.5" customHeight="1" x14ac:dyDescent="0.3">
      <c r="B11" s="2" t="s">
        <v>42</v>
      </c>
      <c r="C11" s="2"/>
      <c r="D11" s="2"/>
      <c r="E11" s="2"/>
      <c r="F11" s="2"/>
      <c r="G11" s="2"/>
      <c r="H11" s="2"/>
      <c r="J11" s="22" t="s">
        <v>43</v>
      </c>
      <c r="K11" s="23">
        <f>SUMIF('Final Project Dataset'!$C$2:$C$251,J11,'Final Project Dataset'!$F$2:$F$251)</f>
        <v>190247</v>
      </c>
      <c r="L11" s="23">
        <f>SUMIF('Final Project Dataset'!$C$2:$C$251,J11,'Final Project Dataset'!$H$2:$H$251)</f>
        <v>49532.28</v>
      </c>
      <c r="M11" s="24">
        <f t="shared" si="0"/>
        <v>0.2603577454572214</v>
      </c>
    </row>
    <row r="12" spans="2:13" ht="43.5" customHeight="1" x14ac:dyDescent="0.3">
      <c r="B12" s="1" t="str">
        <f>"By region, "&amp;INDEX(J18:J22,MATCH(MAX(K18:K22),K18:K22,0))&amp;" is the strongest market (₹"&amp;TEXT(MAX(K18:K22),"#,##0")&amp;") and "&amp;INDEX(J18:J22,MATCH(MIN(K18:K22),K18:K22,0))&amp;" the weakest (₹"&amp;TEXT(MIN(K18:K22),"#,##0")&amp;"), a gap of "&amp;TEXT(MAX(K18:K22)/MIN(K18:K22)-1,"0%")&amp;"."</f>
        <v>By region, West is the strongest market (₹1,391,841) and North the weakest (₹852,561), a gap of 63%.</v>
      </c>
      <c r="C12" s="1"/>
      <c r="D12" s="1"/>
      <c r="E12" s="1"/>
      <c r="F12" s="1"/>
      <c r="G12" s="1"/>
      <c r="H12" s="1"/>
      <c r="J12" s="22" t="s">
        <v>44</v>
      </c>
      <c r="K12" s="23">
        <f>SUMIF('Final Project Dataset'!$C$2:$C$251,J12,'Final Project Dataset'!$F$2:$F$251)</f>
        <v>155853</v>
      </c>
      <c r="L12" s="23">
        <f>SUMIF('Final Project Dataset'!$C$2:$C$251,J12,'Final Project Dataset'!$H$2:$H$251)</f>
        <v>33233.14</v>
      </c>
      <c r="M12" s="24">
        <f t="shared" si="0"/>
        <v>0.21323388064394011</v>
      </c>
    </row>
    <row r="13" spans="2:13" ht="43.5" customHeight="1" x14ac:dyDescent="0.3">
      <c r="B13" s="1" t="str">
        <f>"Sales are seasonal: "&amp;TEXT(INDEX(J26:J37,MATCH(MAX(K26:K37),K26:K37,0)),"mmmm")&amp;" is the peak month (₹"&amp;TEXT(MAX(K26:K37),"#,##0")&amp;") and "&amp;TEXT(INDEX(J26:J37,MATCH(MIN(K26:K37),K26:K37,0)),"mmmm")&amp;" the trough (₹"&amp;TEXT(MIN(K26:K37),"#,##0")&amp;"). The most used payment channel by value is "&amp;INDEX(J41:J45,MATCH(MAX(K41:K45),K41:K45,0))&amp;" ("&amp;TEXT(MAX(K41:K45)/SUM(K41:K45),"0%")&amp;" of sales)."</f>
        <v>Sales are seasonal: March is the peak month (₹962,449) and September the trough (₹157,693). The most used payment channel by value is Net Banking (28% of sales).</v>
      </c>
      <c r="C13" s="1"/>
      <c r="D13" s="1"/>
      <c r="E13" s="1"/>
      <c r="F13" s="1"/>
      <c r="G13" s="1"/>
      <c r="H13" s="1"/>
      <c r="J13" s="22" t="s">
        <v>45</v>
      </c>
      <c r="K13" s="23">
        <f>SUMIF('Final Project Dataset'!$C$2:$C$251,J13,'Final Project Dataset'!$F$2:$F$251)</f>
        <v>89109</v>
      </c>
      <c r="L13" s="23">
        <f>SUMIF('Final Project Dataset'!$C$2:$C$251,J13,'Final Project Dataset'!$H$2:$H$251)</f>
        <v>25713.009999999995</v>
      </c>
      <c r="M13" s="24">
        <f t="shared" si="0"/>
        <v>0.28855682366539848</v>
      </c>
    </row>
    <row r="14" spans="2:13" x14ac:dyDescent="0.3">
      <c r="J14" s="22" t="s">
        <v>46</v>
      </c>
      <c r="K14" s="23">
        <f>SUMIF('Final Project Dataset'!$C$2:$C$251,J14,'Final Project Dataset'!$F$2:$F$251)</f>
        <v>39507</v>
      </c>
      <c r="L14" s="23">
        <f>SUMIF('Final Project Dataset'!$C$2:$C$251,J14,'Final Project Dataset'!$H$2:$H$251)</f>
        <v>11642.309999999996</v>
      </c>
      <c r="M14" s="24">
        <f t="shared" si="0"/>
        <v>0.29468980180727455</v>
      </c>
    </row>
    <row r="15" spans="2:13" ht="19.5" customHeight="1" x14ac:dyDescent="0.3">
      <c r="B15" s="2" t="s">
        <v>47</v>
      </c>
      <c r="C15" s="2"/>
      <c r="D15" s="2"/>
      <c r="E15" s="2"/>
      <c r="F15" s="2"/>
      <c r="G15" s="2"/>
      <c r="H15" s="2"/>
    </row>
    <row r="16" spans="2:13" ht="43.5" customHeight="1" x14ac:dyDescent="0.3">
      <c r="B16" s="1" t="str">
        <f>"The top "&amp;TEXT(1-High_Value_Customers!B3,"0%")&amp;" of customers ("&amp;High_Value_Customers!E3&amp;" people with at least ₹"&amp;TEXT(High_Value_Customers!B4,"#,##0")&amp;" in purchases) deliver "&amp;TEXT(High_Value_Customers!E4,"0.0%")&amp;" of all sales, so a small group carries a large part of revenue."</f>
        <v>The top 20% of customers (16 people with at least ₹100,178 in purchases) deliver 46.2% of all sales, so a small group carries a large part of revenue.</v>
      </c>
      <c r="C16" s="1"/>
      <c r="D16" s="1"/>
      <c r="E16" s="1"/>
      <c r="F16" s="1"/>
      <c r="G16" s="1"/>
      <c r="H16" s="1"/>
    </row>
    <row r="17" spans="2:12" ht="57.75" customHeight="1" x14ac:dyDescent="0.3">
      <c r="B17" s="1" t="str">
        <f>"The biggest customer is "&amp;High_Value_Customers!N8&amp;" with ₹"&amp;TEXT(High_Value_Customers!O8,"#,##0")&amp;" across "&amp;High_Value_Customers!Q8&amp;" purchases. "&amp;Frequency_Match!B19&amp;" customers bought more than once, and "&amp;TEXT(Frequency_Match!B22,"0%")&amp;" of transactions come from repeat names; the most frequent buyer is "&amp;Frequency_Match!B20&amp;" ("&amp;Frequency_Match!B21&amp;" purchases)."</f>
        <v>The biggest customer is Aditya Kapoor with ₹321,673 across 6 purchases. 70 customers bought more than once, and 96% of transactions come from repeat names; the most frequent buyer is Riya Reddy (8 purchases).</v>
      </c>
      <c r="C17" s="1"/>
      <c r="D17" s="1"/>
      <c r="E17" s="1"/>
      <c r="F17" s="1"/>
      <c r="G17" s="1"/>
      <c r="H17" s="1"/>
      <c r="J17" s="8" t="s">
        <v>48</v>
      </c>
      <c r="K17" s="8" t="s">
        <v>32</v>
      </c>
      <c r="L17" s="8" t="s">
        <v>33</v>
      </c>
    </row>
    <row r="18" spans="2:12" x14ac:dyDescent="0.3">
      <c r="J18" s="22" t="s">
        <v>49</v>
      </c>
      <c r="K18" s="23">
        <f>SUMIF('Final Project Dataset'!$G$2:$G$251,J18,'Final Project Dataset'!$F$2:$F$251)</f>
        <v>852561</v>
      </c>
      <c r="L18" s="23">
        <f>SUMIF('Final Project Dataset'!$G$2:$G$251,J18,'Final Project Dataset'!$H$2:$H$251)</f>
        <v>132198.04999999999</v>
      </c>
    </row>
    <row r="19" spans="2:12" ht="19.5" customHeight="1" x14ac:dyDescent="0.3">
      <c r="B19" s="2" t="s">
        <v>50</v>
      </c>
      <c r="C19" s="2"/>
      <c r="D19" s="2"/>
      <c r="E19" s="2"/>
      <c r="F19" s="2"/>
      <c r="G19" s="2"/>
      <c r="H19" s="2"/>
      <c r="J19" s="22" t="s">
        <v>51</v>
      </c>
      <c r="K19" s="23">
        <f>SUMIF('Final Project Dataset'!$G$2:$G$251,J19,'Final Project Dataset'!$F$2:$F$251)</f>
        <v>907263</v>
      </c>
      <c r="L19" s="23">
        <f>SUMIF('Final Project Dataset'!$G$2:$G$251,J19,'Final Project Dataset'!$H$2:$H$251)</f>
        <v>130463.13000000002</v>
      </c>
    </row>
    <row r="20" spans="2:12" ht="57.75" customHeight="1" x14ac:dyDescent="0.3">
      <c r="B20" s="1" t="str">
        <f>"Profit rises steadily with sales: each extra ₹1,000 of sales adds about ₹"&amp;TEXT(Regression!B18*1000,"#,##0")&amp;" of profit, and sales alone explain "&amp;TEXT(Regression!B5,"0.0%")&amp;" of profit variation (significance F = "&amp;TEXT(Regression!F12,"0.0E+00")&amp;"). Because the relationship is so strong, growing order value is a reliable profit lever; the gap to a perfect fit comes from product mix, since margins differ by product."</f>
        <v>Profit rises steadily with sales: each extra ₹1,000 of sales adds about ₹137 of profit, and sales alone explain 89.3% of profit variation (significance F = 1.3E-122). Because the relationship is so strong, growing order value is a reliable profit lever; the gap to a perfect fit comes from product mix, since margins differ by product.</v>
      </c>
      <c r="C20" s="1"/>
      <c r="D20" s="1"/>
      <c r="E20" s="1"/>
      <c r="F20" s="1"/>
      <c r="G20" s="1"/>
      <c r="H20" s="1"/>
      <c r="J20" s="22" t="s">
        <v>52</v>
      </c>
      <c r="K20" s="23">
        <f>SUMIF('Final Project Dataset'!$G$2:$G$251,J20,'Final Project Dataset'!$F$2:$F$251)</f>
        <v>877262</v>
      </c>
      <c r="L20" s="23">
        <f>SUMIF('Final Project Dataset'!$G$2:$G$251,J20,'Final Project Dataset'!$H$2:$H$251)</f>
        <v>117002.59</v>
      </c>
    </row>
    <row r="21" spans="2:12" x14ac:dyDescent="0.3">
      <c r="J21" s="22" t="s">
        <v>53</v>
      </c>
      <c r="K21" s="23">
        <f>SUMIF('Final Project Dataset'!$G$2:$G$251,J21,'Final Project Dataset'!$F$2:$F$251)</f>
        <v>1391841</v>
      </c>
      <c r="L21" s="23">
        <f>SUMIF('Final Project Dataset'!$G$2:$G$251,J21,'Final Project Dataset'!$H$2:$H$251)</f>
        <v>224254.77999999997</v>
      </c>
    </row>
    <row r="22" spans="2:12" ht="19.5" customHeight="1" x14ac:dyDescent="0.3">
      <c r="B22" s="2" t="s">
        <v>54</v>
      </c>
      <c r="C22" s="2"/>
      <c r="D22" s="2"/>
      <c r="E22" s="2"/>
      <c r="F22" s="2"/>
      <c r="G22" s="2"/>
      <c r="H22" s="2"/>
      <c r="J22" s="22" t="s">
        <v>55</v>
      </c>
      <c r="K22" s="23">
        <f>SUMIF('Final Project Dataset'!$G$2:$G$251,J22,'Final Project Dataset'!$F$2:$F$251)</f>
        <v>1233126</v>
      </c>
      <c r="L22" s="23">
        <f>SUMIF('Final Project Dataset'!$G$2:$G$251,J22,'Final Project Dataset'!$H$2:$H$251)</f>
        <v>196259.70999999996</v>
      </c>
    </row>
    <row r="23" spans="2:12" ht="57.75" customHeight="1" x14ac:dyDescent="0.3">
      <c r="B23" s="1" t="str">
        <f>"Baseline profit is ₹"&amp;TEXT(WhatIf!B5,"#,##0")&amp;". In the optimistic scenario (price "&amp;TEXT(WhatIf!F5,"+0%;-0%")&amp;", volume "&amp;TEXT(WhatIf!F6,"+0%;-0%")&amp;", cost "&amp;TEXT(WhatIf!F7,"+0%;-0%")&amp;") profit would be ₹"&amp;TEXT(WhatIf!F11,"#,##0")&amp;" ("&amp;TEXT(WhatIf!F13,"+0%;-0%")&amp;"); in the pessimistic one it falls to ₹"&amp;TEXT(WhatIf!G11,"#,##0")&amp;" ("&amp;TEXT(WhatIf!G13,"+0%;-0%")&amp;"). To lift profit by "&amp;TEXT(WhatIf!B24,"0%")&amp;" through volume alone, sales volume must grow by "&amp;TEXT(WhatIf!B26,"0.0%")&amp;"."</f>
        <v>Baseline profit is ₹800,178. In the optimistic scenario (price +5%, volume +10%, cost -3%) profit would be ₹1,316,851 (+65%); in the pessimistic one it falls to ₹282,584 (-65%). To lift profit by 20% through volume alone, sales volume must grow by 20.0%.</v>
      </c>
      <c r="C23" s="1"/>
      <c r="D23" s="1"/>
      <c r="E23" s="1"/>
      <c r="F23" s="1"/>
      <c r="G23" s="1"/>
      <c r="H23" s="1"/>
    </row>
    <row r="25" spans="2:12" ht="19.5" customHeight="1" x14ac:dyDescent="0.3">
      <c r="B25" s="2" t="s">
        <v>56</v>
      </c>
      <c r="C25" s="2"/>
      <c r="D25" s="2"/>
      <c r="E25" s="2"/>
      <c r="F25" s="2"/>
      <c r="G25" s="2"/>
      <c r="H25" s="2"/>
      <c r="J25" s="8" t="s">
        <v>57</v>
      </c>
      <c r="K25" s="8" t="s">
        <v>32</v>
      </c>
    </row>
    <row r="26" spans="2:12" ht="43.5" customHeight="1" x14ac:dyDescent="0.3">
      <c r="B26" s="1" t="s">
        <v>58</v>
      </c>
      <c r="C26" s="1"/>
      <c r="D26" s="1"/>
      <c r="E26" s="1"/>
      <c r="F26" s="1"/>
      <c r="G26" s="1"/>
      <c r="H26" s="1"/>
      <c r="J26" s="25">
        <f>DATE(2025,1,1)</f>
        <v>45658</v>
      </c>
      <c r="K26" s="23">
        <f>SUMIFS('Final Project Dataset'!$F$2:$F$251,'Final Project Dataset'!$B$2:$B$251,"&gt;="&amp;J26,'Final Project Dataset'!$B$2:$B$251,"&lt;="&amp;EOMONTH(J26,0))</f>
        <v>246721</v>
      </c>
    </row>
    <row r="27" spans="2:12" ht="43.5" customHeight="1" x14ac:dyDescent="0.3">
      <c r="B27" s="1" t="s">
        <v>59</v>
      </c>
      <c r="C27" s="1"/>
      <c r="D27" s="1"/>
      <c r="E27" s="1"/>
      <c r="F27" s="1"/>
      <c r="G27" s="1"/>
      <c r="H27" s="1"/>
      <c r="J27" s="25">
        <f t="shared" ref="J27:J37" si="1">EDATE(J26,1)</f>
        <v>45689</v>
      </c>
      <c r="K27" s="23">
        <f>SUMIFS('Final Project Dataset'!$F$2:$F$251,'Final Project Dataset'!$B$2:$B$251,"&gt;="&amp;J27,'Final Project Dataset'!$B$2:$B$251,"&lt;="&amp;EOMONTH(J27,0))</f>
        <v>431916</v>
      </c>
    </row>
    <row r="28" spans="2:12" ht="43.5" customHeight="1" x14ac:dyDescent="0.3">
      <c r="B28" s="1" t="str">
        <f>"• Build a retention programme for the top customers: the top "&amp;TEXT(1-High_Value_Customers!B3,"0%")&amp;" of buyers drive "&amp;TEXT(High_Value_Customers!E4,"0%")&amp;" of sales, and repeat buyers are the cheapest revenue to grow."</f>
        <v>• Build a retention programme for the top customers: the top 20% of buyers drive 46% of sales, and repeat buyers are the cheapest revenue to grow.</v>
      </c>
      <c r="C28" s="1"/>
      <c r="D28" s="1"/>
      <c r="E28" s="1"/>
      <c r="F28" s="1"/>
      <c r="G28" s="1"/>
      <c r="H28" s="1"/>
      <c r="J28" s="25">
        <f t="shared" si="1"/>
        <v>45717</v>
      </c>
      <c r="K28" s="23">
        <f>SUMIFS('Final Project Dataset'!$F$2:$F$251,'Final Project Dataset'!$B$2:$B$251,"&gt;="&amp;J28,'Final Project Dataset'!$B$2:$B$251,"&lt;="&amp;EOMONTH(J28,0))</f>
        <v>962449</v>
      </c>
    </row>
    <row r="29" spans="2:12" ht="43.5" customHeight="1" x14ac:dyDescent="0.3">
      <c r="B29" s="1" t="s">
        <v>60</v>
      </c>
      <c r="C29" s="1"/>
      <c r="D29" s="1"/>
      <c r="E29" s="1"/>
      <c r="F29" s="1"/>
      <c r="G29" s="1"/>
      <c r="H29" s="1"/>
      <c r="J29" s="25">
        <f t="shared" si="1"/>
        <v>45748</v>
      </c>
      <c r="K29" s="23">
        <f>SUMIFS('Final Project Dataset'!$F$2:$F$251,'Final Project Dataset'!$B$2:$B$251,"&gt;="&amp;J29,'Final Project Dataset'!$B$2:$B$251,"&lt;="&amp;EOMONTH(J29,0))</f>
        <v>180954</v>
      </c>
    </row>
    <row r="30" spans="2:12" x14ac:dyDescent="0.3">
      <c r="J30" s="25">
        <f t="shared" si="1"/>
        <v>45778</v>
      </c>
      <c r="K30" s="23">
        <f>SUMIFS('Final Project Dataset'!$F$2:$F$251,'Final Project Dataset'!$B$2:$B$251,"&gt;="&amp;J30,'Final Project Dataset'!$B$2:$B$251,"&lt;="&amp;EOMONTH(J30,0))</f>
        <v>418176</v>
      </c>
    </row>
    <row r="31" spans="2:12" ht="19.5" customHeight="1" x14ac:dyDescent="0.3">
      <c r="B31" s="2" t="s">
        <v>61</v>
      </c>
      <c r="C31" s="2"/>
      <c r="D31" s="2"/>
      <c r="E31" s="2"/>
      <c r="F31" s="2"/>
      <c r="G31" s="2"/>
      <c r="H31" s="2"/>
      <c r="J31" s="25">
        <f t="shared" si="1"/>
        <v>45809</v>
      </c>
      <c r="K31" s="23">
        <f>SUMIFS('Final Project Dataset'!$F$2:$F$251,'Final Project Dataset'!$B$2:$B$251,"&gt;="&amp;J31,'Final Project Dataset'!$B$2:$B$251,"&lt;="&amp;EOMONTH(J31,0))</f>
        <v>331705</v>
      </c>
    </row>
    <row r="32" spans="2:12" ht="57.75" customHeight="1" x14ac:dyDescent="0.3">
      <c r="B32" s="1" t="s">
        <v>62</v>
      </c>
      <c r="C32" s="1"/>
      <c r="D32" s="1"/>
      <c r="E32" s="1"/>
      <c r="F32" s="1"/>
      <c r="G32" s="1"/>
      <c r="H32" s="1"/>
      <c r="J32" s="25">
        <f t="shared" si="1"/>
        <v>45839</v>
      </c>
      <c r="K32" s="23">
        <f>SUMIFS('Final Project Dataset'!$F$2:$F$251,'Final Project Dataset'!$B$2:$B$251,"&gt;="&amp;J32,'Final Project Dataset'!$B$2:$B$251,"&lt;="&amp;EOMONTH(J32,0))</f>
        <v>488558</v>
      </c>
    </row>
    <row r="33" spans="10:11" x14ac:dyDescent="0.3">
      <c r="J33" s="25">
        <f t="shared" si="1"/>
        <v>45870</v>
      </c>
      <c r="K33" s="23">
        <f>SUMIFS('Final Project Dataset'!$F$2:$F$251,'Final Project Dataset'!$B$2:$B$251,"&gt;="&amp;J33,'Final Project Dataset'!$B$2:$B$251,"&lt;="&amp;EOMONTH(J33,0))</f>
        <v>516837</v>
      </c>
    </row>
    <row r="34" spans="10:11" x14ac:dyDescent="0.3">
      <c r="J34" s="25">
        <f t="shared" si="1"/>
        <v>45901</v>
      </c>
      <c r="K34" s="23">
        <f>SUMIFS('Final Project Dataset'!$F$2:$F$251,'Final Project Dataset'!$B$2:$B$251,"&gt;="&amp;J34,'Final Project Dataset'!$B$2:$B$251,"&lt;="&amp;EOMONTH(J34,0))</f>
        <v>157693</v>
      </c>
    </row>
    <row r="35" spans="10:11" x14ac:dyDescent="0.3">
      <c r="J35" s="25">
        <f t="shared" si="1"/>
        <v>45931</v>
      </c>
      <c r="K35" s="23">
        <f>SUMIFS('Final Project Dataset'!$F$2:$F$251,'Final Project Dataset'!$B$2:$B$251,"&gt;="&amp;J35,'Final Project Dataset'!$B$2:$B$251,"&lt;="&amp;EOMONTH(J35,0))</f>
        <v>442217</v>
      </c>
    </row>
    <row r="36" spans="10:11" x14ac:dyDescent="0.3">
      <c r="J36" s="25">
        <f t="shared" si="1"/>
        <v>45962</v>
      </c>
      <c r="K36" s="23">
        <f>SUMIFS('Final Project Dataset'!$F$2:$F$251,'Final Project Dataset'!$B$2:$B$251,"&gt;="&amp;J36,'Final Project Dataset'!$B$2:$B$251,"&lt;="&amp;EOMONTH(J36,0))</f>
        <v>499395</v>
      </c>
    </row>
    <row r="37" spans="10:11" x14ac:dyDescent="0.3">
      <c r="J37" s="25">
        <f t="shared" si="1"/>
        <v>45992</v>
      </c>
      <c r="K37" s="23">
        <f>SUMIFS('Final Project Dataset'!$F$2:$F$251,'Final Project Dataset'!$B$2:$B$251,"&gt;="&amp;J37,'Final Project Dataset'!$B$2:$B$251,"&lt;="&amp;EOMONTH(J37,0))</f>
        <v>585432</v>
      </c>
    </row>
    <row r="40" spans="10:11" x14ac:dyDescent="0.3">
      <c r="J40" s="8" t="s">
        <v>63</v>
      </c>
      <c r="K40" s="8" t="s">
        <v>32</v>
      </c>
    </row>
    <row r="41" spans="10:11" x14ac:dyDescent="0.3">
      <c r="J41" s="22" t="s">
        <v>64</v>
      </c>
      <c r="K41" s="23">
        <f>SUMIF('Final Project Dataset'!$J$2:$J$251,J41,'Final Project Dataset'!$F$2:$F$251)</f>
        <v>1260631</v>
      </c>
    </row>
    <row r="42" spans="10:11" x14ac:dyDescent="0.3">
      <c r="J42" s="22" t="s">
        <v>65</v>
      </c>
      <c r="K42" s="23">
        <f>SUMIF('Final Project Dataset'!$J$2:$J$251,J42,'Final Project Dataset'!$F$2:$F$251)</f>
        <v>626766</v>
      </c>
    </row>
    <row r="43" spans="10:11" x14ac:dyDescent="0.3">
      <c r="J43" s="22" t="s">
        <v>66</v>
      </c>
      <c r="K43" s="23">
        <f>SUMIF('Final Project Dataset'!$J$2:$J$251,J43,'Final Project Dataset'!$F$2:$F$251)</f>
        <v>1053936</v>
      </c>
    </row>
    <row r="44" spans="10:11" x14ac:dyDescent="0.3">
      <c r="J44" s="22" t="s">
        <v>67</v>
      </c>
      <c r="K44" s="23">
        <f>SUMIF('Final Project Dataset'!$J$2:$J$251,J44,'Final Project Dataset'!$F$2:$F$251)</f>
        <v>844615</v>
      </c>
    </row>
    <row r="45" spans="10:11" x14ac:dyDescent="0.3">
      <c r="J45" s="22" t="s">
        <v>68</v>
      </c>
      <c r="K45" s="23">
        <f>SUMIF('Final Project Dataset'!$J$2:$J$251,J45,'Final Project Dataset'!$F$2:$F$251)</f>
        <v>1476105</v>
      </c>
    </row>
  </sheetData>
  <mergeCells count="23">
    <mergeCell ref="B29:H29"/>
    <mergeCell ref="B31:H31"/>
    <mergeCell ref="B32:H32"/>
    <mergeCell ref="B23:H23"/>
    <mergeCell ref="B25:H25"/>
    <mergeCell ref="B26:H26"/>
    <mergeCell ref="B27:H27"/>
    <mergeCell ref="B28:H28"/>
    <mergeCell ref="B16:H16"/>
    <mergeCell ref="B17:H17"/>
    <mergeCell ref="B19:H19"/>
    <mergeCell ref="B20:H20"/>
    <mergeCell ref="B22:H22"/>
    <mergeCell ref="B9:H9"/>
    <mergeCell ref="B11:H11"/>
    <mergeCell ref="B12:H12"/>
    <mergeCell ref="B13:H13"/>
    <mergeCell ref="B15:H15"/>
    <mergeCell ref="B1:H1"/>
    <mergeCell ref="B4:H4"/>
    <mergeCell ref="B5:H5"/>
    <mergeCell ref="B7:H7"/>
    <mergeCell ref="B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T2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5" sqref="A1:T251"/>
    </sheetView>
  </sheetViews>
  <sheetFormatPr defaultColWidth="8.6640625" defaultRowHeight="14.4" x14ac:dyDescent="0.3"/>
  <cols>
    <col min="1" max="1" width="18" bestFit="1" customWidth="1"/>
    <col min="2" max="2" width="11.77734375" bestFit="1" customWidth="1"/>
    <col min="3" max="3" width="12.33203125" bestFit="1" customWidth="1"/>
    <col min="4" max="4" width="12.5546875" bestFit="1" customWidth="1"/>
    <col min="5" max="5" width="14.109375" bestFit="1" customWidth="1"/>
    <col min="6" max="6" width="9.88671875" bestFit="1" customWidth="1"/>
    <col min="7" max="7" width="11" bestFit="1" customWidth="1"/>
    <col min="8" max="8" width="10.109375" bestFit="1" customWidth="1"/>
    <col min="9" max="9" width="16.21875" bestFit="1" customWidth="1"/>
    <col min="10" max="11" width="19.44140625" bestFit="1" customWidth="1"/>
    <col min="12" max="12" width="16.109375" bestFit="1" customWidth="1"/>
    <col min="13" max="13" width="15.88671875" bestFit="1" customWidth="1"/>
    <col min="14" max="14" width="13.77734375" bestFit="1" customWidth="1"/>
    <col min="15" max="15" width="11.33203125" bestFit="1" customWidth="1"/>
    <col min="16" max="16" width="14" bestFit="1" customWidth="1"/>
    <col min="17" max="17" width="15.88671875" bestFit="1" customWidth="1"/>
    <col min="18" max="18" width="11" bestFit="1" customWidth="1"/>
    <col min="19" max="19" width="14.109375" bestFit="1" customWidth="1"/>
    <col min="20" max="20" width="15.6640625" bestFit="1" customWidth="1"/>
  </cols>
  <sheetData>
    <row r="1" spans="1:20" ht="31.5" customHeight="1" x14ac:dyDescent="0.3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8" t="s">
        <v>79</v>
      </c>
      <c r="L1" s="26" t="s">
        <v>80</v>
      </c>
      <c r="M1" s="26" t="s">
        <v>81</v>
      </c>
      <c r="N1" s="26" t="s">
        <v>82</v>
      </c>
      <c r="O1" s="26" t="s">
        <v>24</v>
      </c>
      <c r="P1" s="26" t="s">
        <v>83</v>
      </c>
      <c r="Q1" s="26" t="s">
        <v>84</v>
      </c>
      <c r="R1" s="26" t="s">
        <v>85</v>
      </c>
      <c r="S1" s="26" t="s">
        <v>86</v>
      </c>
      <c r="T1" s="26" t="s">
        <v>87</v>
      </c>
    </row>
    <row r="2" spans="1:20" x14ac:dyDescent="0.3">
      <c r="A2" s="22" t="s">
        <v>88</v>
      </c>
      <c r="B2" s="27">
        <v>45658</v>
      </c>
      <c r="C2" s="22" t="s">
        <v>43</v>
      </c>
      <c r="D2" s="22">
        <v>2</v>
      </c>
      <c r="E2" s="23">
        <v>3695</v>
      </c>
      <c r="F2" s="23">
        <v>7390</v>
      </c>
      <c r="G2" s="22" t="s">
        <v>55</v>
      </c>
      <c r="H2" s="28">
        <v>1869.93</v>
      </c>
      <c r="I2" s="22" t="s">
        <v>89</v>
      </c>
      <c r="J2" s="22" t="s">
        <v>67</v>
      </c>
      <c r="K2" s="22" t="s">
        <v>90</v>
      </c>
      <c r="L2" s="27">
        <f t="shared" ref="L2:L65" si="0">EOMONTH(B2,0)</f>
        <v>45688</v>
      </c>
      <c r="M2" s="29">
        <f t="shared" ref="M2:M65" ca="1" si="1">DATEDIF(B2,TODAY(),"m")</f>
        <v>21</v>
      </c>
      <c r="N2" s="23">
        <f t="shared" ref="N2:N65" ca="1" si="2">TODAY()-B2</f>
        <v>667</v>
      </c>
      <c r="O2" s="24">
        <f t="shared" ref="O2:O65" si="3">IF(F2=0,0,H2/F2)</f>
        <v>0.25303518267929637</v>
      </c>
      <c r="P2" s="22" t="str">
        <f t="shared" ref="P2:P65" si="4">IF(COUNTIF($K$2:$K$251,K2)&gt;1,"Repeat","One-time")</f>
        <v>Repeat</v>
      </c>
      <c r="Q2" s="22" t="str">
        <f t="shared" ref="Q2:Q65" si="5">UPPER(LEFT(C2,3))&amp;"-"&amp;TEXT(B2,"MMYY")&amp;"-"&amp;TEXT(F2,"00000")</f>
        <v>HEA-0125-07390</v>
      </c>
      <c r="R2" s="22" t="str">
        <f t="shared" ref="R2:R65" si="6">LEFT(K2,1)&amp;MID(K2,FIND(" ",K2)+1,1)</f>
        <v>PS</v>
      </c>
      <c r="S2" s="29">
        <f>IF(AND(OR(FILTER_Demo!$B$3="All",G2=FILTER_Demo!$B$3),OR(FILTER_Demo!$B$4="All",C2=FILTER_Demo!$B$4),F2&gt;=FILTER_Demo!$B$5),1,0)</f>
        <v>0</v>
      </c>
      <c r="T2" s="29" t="str">
        <f>IF(S2=1,SUM($S$2:S2),"")</f>
        <v/>
      </c>
    </row>
    <row r="3" spans="1:20" x14ac:dyDescent="0.3">
      <c r="A3" s="22" t="s">
        <v>91</v>
      </c>
      <c r="B3" s="27">
        <v>45661</v>
      </c>
      <c r="C3" s="22" t="s">
        <v>41</v>
      </c>
      <c r="D3" s="22">
        <v>1</v>
      </c>
      <c r="E3" s="23">
        <v>9403</v>
      </c>
      <c r="F3" s="23">
        <v>9403</v>
      </c>
      <c r="G3" s="22" t="s">
        <v>51</v>
      </c>
      <c r="H3" s="28">
        <v>1295.9100000000001</v>
      </c>
      <c r="I3" s="22" t="s">
        <v>92</v>
      </c>
      <c r="J3" s="22" t="s">
        <v>66</v>
      </c>
      <c r="K3" s="22" t="s">
        <v>93</v>
      </c>
      <c r="L3" s="27">
        <f t="shared" si="0"/>
        <v>45688</v>
      </c>
      <c r="M3" s="29">
        <f t="shared" ca="1" si="1"/>
        <v>21</v>
      </c>
      <c r="N3" s="23">
        <f t="shared" ca="1" si="2"/>
        <v>664</v>
      </c>
      <c r="O3" s="24">
        <f t="shared" si="3"/>
        <v>0.13781878124002978</v>
      </c>
      <c r="P3" s="22" t="str">
        <f t="shared" si="4"/>
        <v>Repeat</v>
      </c>
      <c r="Q3" s="22" t="str">
        <f t="shared" si="5"/>
        <v>PRI-0125-09403</v>
      </c>
      <c r="R3" s="22" t="str">
        <f t="shared" si="6"/>
        <v>PI</v>
      </c>
      <c r="S3" s="29">
        <f>IF(AND(OR(FILTER_Demo!$B$3="All",G3=FILTER_Demo!$B$3),OR(FILTER_Demo!$B$4="All",C3=FILTER_Demo!$B$4),F3&gt;=FILTER_Demo!$B$5),1,0)</f>
        <v>0</v>
      </c>
      <c r="T3" s="29" t="str">
        <f>IF(S3=1,SUM($S$2:S3),"")</f>
        <v/>
      </c>
    </row>
    <row r="4" spans="1:20" x14ac:dyDescent="0.3">
      <c r="A4" s="22" t="s">
        <v>94</v>
      </c>
      <c r="B4" s="27">
        <v>45661</v>
      </c>
      <c r="C4" s="22" t="s">
        <v>39</v>
      </c>
      <c r="D4" s="22">
        <v>2</v>
      </c>
      <c r="E4" s="23">
        <v>17312</v>
      </c>
      <c r="F4" s="23">
        <v>34624</v>
      </c>
      <c r="G4" s="22" t="s">
        <v>51</v>
      </c>
      <c r="H4" s="28">
        <v>3946.53</v>
      </c>
      <c r="I4" s="22" t="s">
        <v>95</v>
      </c>
      <c r="J4" s="22" t="s">
        <v>68</v>
      </c>
      <c r="K4" s="22" t="s">
        <v>96</v>
      </c>
      <c r="L4" s="27">
        <f t="shared" si="0"/>
        <v>45688</v>
      </c>
      <c r="M4" s="29">
        <f t="shared" ca="1" si="1"/>
        <v>21</v>
      </c>
      <c r="N4" s="23">
        <f t="shared" ca="1" si="2"/>
        <v>664</v>
      </c>
      <c r="O4" s="24">
        <f t="shared" si="3"/>
        <v>0.11398249768946396</v>
      </c>
      <c r="P4" s="22" t="str">
        <f t="shared" si="4"/>
        <v>Repeat</v>
      </c>
      <c r="Q4" s="22" t="str">
        <f t="shared" si="5"/>
        <v>TAB-0125-34624</v>
      </c>
      <c r="R4" s="22" t="str">
        <f t="shared" si="6"/>
        <v>AT</v>
      </c>
      <c r="S4" s="29">
        <f>IF(AND(OR(FILTER_Demo!$B$3="All",G4=FILTER_Demo!$B$3),OR(FILTER_Demo!$B$4="All",C4=FILTER_Demo!$B$4),F4&gt;=FILTER_Demo!$B$5),1,0)</f>
        <v>1</v>
      </c>
      <c r="T4" s="29">
        <f>IF(S4=1,SUM($S$2:S4),"")</f>
        <v>1</v>
      </c>
    </row>
    <row r="5" spans="1:20" x14ac:dyDescent="0.3">
      <c r="A5" s="22" t="s">
        <v>97</v>
      </c>
      <c r="B5" s="27">
        <v>45665</v>
      </c>
      <c r="C5" s="22" t="s">
        <v>44</v>
      </c>
      <c r="D5" s="22">
        <v>3</v>
      </c>
      <c r="E5" s="23">
        <v>2917</v>
      </c>
      <c r="F5" s="23">
        <v>8751</v>
      </c>
      <c r="G5" s="22" t="s">
        <v>55</v>
      </c>
      <c r="H5" s="28">
        <v>1759.61</v>
      </c>
      <c r="I5" s="22" t="s">
        <v>98</v>
      </c>
      <c r="J5" s="22" t="s">
        <v>64</v>
      </c>
      <c r="K5" s="22" t="s">
        <v>99</v>
      </c>
      <c r="L5" s="27">
        <f t="shared" si="0"/>
        <v>45688</v>
      </c>
      <c r="M5" s="29">
        <f t="shared" ca="1" si="1"/>
        <v>21</v>
      </c>
      <c r="N5" s="23">
        <f t="shared" ca="1" si="2"/>
        <v>660</v>
      </c>
      <c r="O5" s="24">
        <f t="shared" si="3"/>
        <v>0.20107530567935092</v>
      </c>
      <c r="P5" s="22" t="str">
        <f t="shared" si="4"/>
        <v>Repeat</v>
      </c>
      <c r="Q5" s="22" t="str">
        <f t="shared" si="5"/>
        <v>WEB-0125-08751</v>
      </c>
      <c r="R5" s="22" t="str">
        <f t="shared" si="6"/>
        <v>MN</v>
      </c>
      <c r="S5" s="29">
        <f>IF(AND(OR(FILTER_Demo!$B$3="All",G5=FILTER_Demo!$B$3),OR(FILTER_Demo!$B$4="All",C5=FILTER_Demo!$B$4),F5&gt;=FILTER_Demo!$B$5),1,0)</f>
        <v>0</v>
      </c>
      <c r="T5" s="29" t="str">
        <f>IF(S5=1,SUM($S$2:S5),"")</f>
        <v/>
      </c>
    </row>
    <row r="6" spans="1:20" x14ac:dyDescent="0.3">
      <c r="A6" s="22" t="s">
        <v>100</v>
      </c>
      <c r="B6" s="27">
        <v>45668</v>
      </c>
      <c r="C6" s="22" t="s">
        <v>40</v>
      </c>
      <c r="D6" s="22">
        <v>5</v>
      </c>
      <c r="E6" s="23">
        <v>8538</v>
      </c>
      <c r="F6" s="23">
        <v>42690</v>
      </c>
      <c r="G6" s="22" t="s">
        <v>52</v>
      </c>
      <c r="H6" s="28">
        <v>8005.22</v>
      </c>
      <c r="I6" s="22" t="s">
        <v>101</v>
      </c>
      <c r="J6" s="22" t="s">
        <v>64</v>
      </c>
      <c r="K6" s="22" t="s">
        <v>102</v>
      </c>
      <c r="L6" s="27">
        <f t="shared" si="0"/>
        <v>45688</v>
      </c>
      <c r="M6" s="29">
        <f t="shared" ca="1" si="1"/>
        <v>21</v>
      </c>
      <c r="N6" s="23">
        <f t="shared" ca="1" si="2"/>
        <v>657</v>
      </c>
      <c r="O6" s="24">
        <f t="shared" si="3"/>
        <v>0.18751979386273132</v>
      </c>
      <c r="P6" s="22" t="str">
        <f t="shared" si="4"/>
        <v>Repeat</v>
      </c>
      <c r="Q6" s="22" t="str">
        <f t="shared" si="5"/>
        <v>SMA-0125-42690</v>
      </c>
      <c r="R6" s="22" t="str">
        <f t="shared" si="6"/>
        <v>AB</v>
      </c>
      <c r="S6" s="29">
        <f>IF(AND(OR(FILTER_Demo!$B$3="All",G6=FILTER_Demo!$B$3),OR(FILTER_Demo!$B$4="All",C6=FILTER_Demo!$B$4),F6&gt;=FILTER_Demo!$B$5),1,0)</f>
        <v>0</v>
      </c>
      <c r="T6" s="29" t="str">
        <f>IF(S6=1,SUM($S$2:S6),"")</f>
        <v/>
      </c>
    </row>
    <row r="7" spans="1:20" x14ac:dyDescent="0.3">
      <c r="A7" s="22" t="s">
        <v>103</v>
      </c>
      <c r="B7" s="27">
        <v>45670</v>
      </c>
      <c r="C7" s="22" t="s">
        <v>43</v>
      </c>
      <c r="D7" s="22">
        <v>5</v>
      </c>
      <c r="E7" s="23">
        <v>3718</v>
      </c>
      <c r="F7" s="23">
        <v>18590</v>
      </c>
      <c r="G7" s="22" t="s">
        <v>51</v>
      </c>
      <c r="H7" s="28">
        <v>5356.55</v>
      </c>
      <c r="I7" s="22" t="s">
        <v>104</v>
      </c>
      <c r="J7" s="22" t="s">
        <v>67</v>
      </c>
      <c r="K7" s="22" t="s">
        <v>105</v>
      </c>
      <c r="L7" s="27">
        <f t="shared" si="0"/>
        <v>45688</v>
      </c>
      <c r="M7" s="29">
        <f t="shared" ca="1" si="1"/>
        <v>21</v>
      </c>
      <c r="N7" s="23">
        <f t="shared" ca="1" si="2"/>
        <v>655</v>
      </c>
      <c r="O7" s="24">
        <f t="shared" si="3"/>
        <v>0.28814147391070472</v>
      </c>
      <c r="P7" s="22" t="str">
        <f t="shared" si="4"/>
        <v>Repeat</v>
      </c>
      <c r="Q7" s="22" t="str">
        <f t="shared" si="5"/>
        <v>HEA-0125-18590</v>
      </c>
      <c r="R7" s="22" t="str">
        <f t="shared" si="6"/>
        <v>AT</v>
      </c>
      <c r="S7" s="29">
        <f>IF(AND(OR(FILTER_Demo!$B$3="All",G7=FILTER_Demo!$B$3),OR(FILTER_Demo!$B$4="All",C7=FILTER_Demo!$B$4),F7&gt;=FILTER_Demo!$B$5),1,0)</f>
        <v>0</v>
      </c>
      <c r="T7" s="29" t="str">
        <f>IF(S7=1,SUM($S$2:S7),"")</f>
        <v/>
      </c>
    </row>
    <row r="8" spans="1:20" x14ac:dyDescent="0.3">
      <c r="A8" s="22" t="s">
        <v>106</v>
      </c>
      <c r="B8" s="27">
        <v>45672</v>
      </c>
      <c r="C8" s="22" t="s">
        <v>45</v>
      </c>
      <c r="D8" s="22">
        <v>1</v>
      </c>
      <c r="E8" s="23">
        <v>1978</v>
      </c>
      <c r="F8" s="23">
        <v>1978</v>
      </c>
      <c r="G8" s="22" t="s">
        <v>52</v>
      </c>
      <c r="H8" s="28">
        <v>529.1</v>
      </c>
      <c r="I8" s="22" t="s">
        <v>107</v>
      </c>
      <c r="J8" s="22" t="s">
        <v>66</v>
      </c>
      <c r="K8" s="22" t="s">
        <v>108</v>
      </c>
      <c r="L8" s="27">
        <f t="shared" si="0"/>
        <v>45688</v>
      </c>
      <c r="M8" s="29">
        <f t="shared" ca="1" si="1"/>
        <v>21</v>
      </c>
      <c r="N8" s="23">
        <f t="shared" ca="1" si="2"/>
        <v>653</v>
      </c>
      <c r="O8" s="24">
        <f t="shared" si="3"/>
        <v>0.26749241658240647</v>
      </c>
      <c r="P8" s="22" t="str">
        <f t="shared" si="4"/>
        <v>Repeat</v>
      </c>
      <c r="Q8" s="22" t="str">
        <f t="shared" si="5"/>
        <v>KEY-0125-01978</v>
      </c>
      <c r="R8" s="22" t="str">
        <f t="shared" si="6"/>
        <v>VM</v>
      </c>
      <c r="S8" s="29">
        <f>IF(AND(OR(FILTER_Demo!$B$3="All",G8=FILTER_Demo!$B$3),OR(FILTER_Demo!$B$4="All",C8=FILTER_Demo!$B$4),F8&gt;=FILTER_Demo!$B$5),1,0)</f>
        <v>0</v>
      </c>
      <c r="T8" s="29" t="str">
        <f>IF(S8=1,SUM($S$2:S8),"")</f>
        <v/>
      </c>
    </row>
    <row r="9" spans="1:20" x14ac:dyDescent="0.3">
      <c r="A9" s="22" t="s">
        <v>109</v>
      </c>
      <c r="B9" s="27">
        <v>45672</v>
      </c>
      <c r="C9" s="22" t="s">
        <v>45</v>
      </c>
      <c r="D9" s="22">
        <v>3</v>
      </c>
      <c r="E9" s="23">
        <v>1823</v>
      </c>
      <c r="F9" s="23">
        <v>5469</v>
      </c>
      <c r="G9" s="22" t="s">
        <v>49</v>
      </c>
      <c r="H9" s="28">
        <v>1709.19</v>
      </c>
      <c r="I9" s="22" t="s">
        <v>110</v>
      </c>
      <c r="J9" s="22" t="s">
        <v>68</v>
      </c>
      <c r="K9" s="22" t="s">
        <v>111</v>
      </c>
      <c r="L9" s="27">
        <f t="shared" si="0"/>
        <v>45688</v>
      </c>
      <c r="M9" s="29">
        <f t="shared" ca="1" si="1"/>
        <v>21</v>
      </c>
      <c r="N9" s="23">
        <f t="shared" ca="1" si="2"/>
        <v>653</v>
      </c>
      <c r="O9" s="24">
        <f t="shared" si="3"/>
        <v>0.31252331321996712</v>
      </c>
      <c r="P9" s="22" t="str">
        <f t="shared" si="4"/>
        <v>Repeat</v>
      </c>
      <c r="Q9" s="22" t="str">
        <f t="shared" si="5"/>
        <v>KEY-0125-05469</v>
      </c>
      <c r="R9" s="22" t="str">
        <f t="shared" si="6"/>
        <v>RS</v>
      </c>
      <c r="S9" s="29">
        <f>IF(AND(OR(FILTER_Demo!$B$3="All",G9=FILTER_Demo!$B$3),OR(FILTER_Demo!$B$4="All",C9=FILTER_Demo!$B$4),F9&gt;=FILTER_Demo!$B$5),1,0)</f>
        <v>0</v>
      </c>
      <c r="T9" s="29" t="str">
        <f>IF(S9=1,SUM($S$2:S9),"")</f>
        <v/>
      </c>
    </row>
    <row r="10" spans="1:20" x14ac:dyDescent="0.3">
      <c r="A10" s="22" t="s">
        <v>112</v>
      </c>
      <c r="B10" s="27">
        <v>45674</v>
      </c>
      <c r="C10" s="22" t="s">
        <v>35</v>
      </c>
      <c r="D10" s="22">
        <v>1</v>
      </c>
      <c r="E10" s="23">
        <v>46180</v>
      </c>
      <c r="F10" s="23">
        <v>46180</v>
      </c>
      <c r="G10" s="22" t="s">
        <v>52</v>
      </c>
      <c r="H10" s="28">
        <v>5213.45</v>
      </c>
      <c r="I10" s="22" t="s">
        <v>113</v>
      </c>
      <c r="J10" s="22" t="s">
        <v>68</v>
      </c>
      <c r="K10" s="22" t="s">
        <v>114</v>
      </c>
      <c r="L10" s="27">
        <f t="shared" si="0"/>
        <v>45688</v>
      </c>
      <c r="M10" s="29">
        <f t="shared" ca="1" si="1"/>
        <v>21</v>
      </c>
      <c r="N10" s="23">
        <f t="shared" ca="1" si="2"/>
        <v>651</v>
      </c>
      <c r="O10" s="24">
        <f t="shared" si="3"/>
        <v>0.11289411000433087</v>
      </c>
      <c r="P10" s="22" t="str">
        <f t="shared" si="4"/>
        <v>Repeat</v>
      </c>
      <c r="Q10" s="22" t="str">
        <f t="shared" si="5"/>
        <v>LAP-0125-46180</v>
      </c>
      <c r="R10" s="22" t="str">
        <f t="shared" si="6"/>
        <v>VB</v>
      </c>
      <c r="S10" s="29">
        <f>IF(AND(OR(FILTER_Demo!$B$3="All",G10=FILTER_Demo!$B$3),OR(FILTER_Demo!$B$4="All",C10=FILTER_Demo!$B$4),F10&gt;=FILTER_Demo!$B$5),1,0)</f>
        <v>0</v>
      </c>
      <c r="T10" s="29" t="str">
        <f>IF(S10=1,SUM($S$2:S10),"")</f>
        <v/>
      </c>
    </row>
    <row r="11" spans="1:20" x14ac:dyDescent="0.3">
      <c r="A11" s="22" t="s">
        <v>115</v>
      </c>
      <c r="B11" s="27">
        <v>45677</v>
      </c>
      <c r="C11" s="22" t="s">
        <v>40</v>
      </c>
      <c r="D11" s="22">
        <v>1</v>
      </c>
      <c r="E11" s="23">
        <v>8460</v>
      </c>
      <c r="F11" s="23">
        <v>8460</v>
      </c>
      <c r="G11" s="22" t="s">
        <v>53</v>
      </c>
      <c r="H11" s="28">
        <v>1191.25</v>
      </c>
      <c r="I11" s="22" t="s">
        <v>116</v>
      </c>
      <c r="J11" s="22" t="s">
        <v>65</v>
      </c>
      <c r="K11" s="22" t="s">
        <v>117</v>
      </c>
      <c r="L11" s="27">
        <f t="shared" si="0"/>
        <v>45688</v>
      </c>
      <c r="M11" s="29">
        <f t="shared" ca="1" si="1"/>
        <v>21</v>
      </c>
      <c r="N11" s="23">
        <f t="shared" ca="1" si="2"/>
        <v>648</v>
      </c>
      <c r="O11" s="24">
        <f t="shared" si="3"/>
        <v>0.14080969267139479</v>
      </c>
      <c r="P11" s="22" t="str">
        <f t="shared" si="4"/>
        <v>Repeat</v>
      </c>
      <c r="Q11" s="22" t="str">
        <f t="shared" si="5"/>
        <v>SMA-0125-08460</v>
      </c>
      <c r="R11" s="22" t="str">
        <f t="shared" si="6"/>
        <v>VI</v>
      </c>
      <c r="S11" s="29">
        <f>IF(AND(OR(FILTER_Demo!$B$3="All",G11=FILTER_Demo!$B$3),OR(FILTER_Demo!$B$4="All",C11=FILTER_Demo!$B$4),F11&gt;=FILTER_Demo!$B$5),1,0)</f>
        <v>0</v>
      </c>
      <c r="T11" s="29" t="str">
        <f>IF(S11=1,SUM($S$2:S11),"")</f>
        <v/>
      </c>
    </row>
    <row r="12" spans="1:20" x14ac:dyDescent="0.3">
      <c r="A12" s="22" t="s">
        <v>118</v>
      </c>
      <c r="B12" s="27">
        <v>45679</v>
      </c>
      <c r="C12" s="22" t="s">
        <v>44</v>
      </c>
      <c r="D12" s="22">
        <v>3</v>
      </c>
      <c r="E12" s="23">
        <v>2966</v>
      </c>
      <c r="F12" s="23">
        <v>8898</v>
      </c>
      <c r="G12" s="22" t="s">
        <v>52</v>
      </c>
      <c r="H12" s="28">
        <v>2016.23</v>
      </c>
      <c r="I12" s="22" t="s">
        <v>119</v>
      </c>
      <c r="J12" s="22" t="s">
        <v>67</v>
      </c>
      <c r="K12" s="22" t="s">
        <v>120</v>
      </c>
      <c r="L12" s="27">
        <f t="shared" si="0"/>
        <v>45688</v>
      </c>
      <c r="M12" s="29">
        <f t="shared" ca="1" si="1"/>
        <v>21</v>
      </c>
      <c r="N12" s="23">
        <f t="shared" ca="1" si="2"/>
        <v>646</v>
      </c>
      <c r="O12" s="24">
        <f t="shared" si="3"/>
        <v>0.22659361654304339</v>
      </c>
      <c r="P12" s="22" t="str">
        <f t="shared" si="4"/>
        <v>Repeat</v>
      </c>
      <c r="Q12" s="22" t="str">
        <f t="shared" si="5"/>
        <v>WEB-0125-08898</v>
      </c>
      <c r="R12" s="22" t="str">
        <f t="shared" si="6"/>
        <v>AR</v>
      </c>
      <c r="S12" s="29">
        <f>IF(AND(OR(FILTER_Demo!$B$3="All",G12=FILTER_Demo!$B$3),OR(FILTER_Demo!$B$4="All",C12=FILTER_Demo!$B$4),F12&gt;=FILTER_Demo!$B$5),1,0)</f>
        <v>0</v>
      </c>
      <c r="T12" s="29" t="str">
        <f>IF(S12=1,SUM($S$2:S12),"")</f>
        <v/>
      </c>
    </row>
    <row r="13" spans="1:20" x14ac:dyDescent="0.3">
      <c r="A13" s="22" t="s">
        <v>121</v>
      </c>
      <c r="B13" s="27">
        <v>45679</v>
      </c>
      <c r="C13" s="22" t="s">
        <v>44</v>
      </c>
      <c r="D13" s="22">
        <v>2</v>
      </c>
      <c r="E13" s="23">
        <v>2735</v>
      </c>
      <c r="F13" s="23">
        <v>5470</v>
      </c>
      <c r="G13" s="22" t="s">
        <v>53</v>
      </c>
      <c r="H13" s="28">
        <v>1247.3399999999999</v>
      </c>
      <c r="I13" s="22" t="s">
        <v>101</v>
      </c>
      <c r="J13" s="22" t="s">
        <v>65</v>
      </c>
      <c r="K13" s="22" t="s">
        <v>102</v>
      </c>
      <c r="L13" s="27">
        <f t="shared" si="0"/>
        <v>45688</v>
      </c>
      <c r="M13" s="29">
        <f t="shared" ca="1" si="1"/>
        <v>21</v>
      </c>
      <c r="N13" s="23">
        <f t="shared" ca="1" si="2"/>
        <v>646</v>
      </c>
      <c r="O13" s="24">
        <f t="shared" si="3"/>
        <v>0.22803290676416818</v>
      </c>
      <c r="P13" s="22" t="str">
        <f t="shared" si="4"/>
        <v>Repeat</v>
      </c>
      <c r="Q13" s="22" t="str">
        <f t="shared" si="5"/>
        <v>WEB-0125-05470</v>
      </c>
      <c r="R13" s="22" t="str">
        <f t="shared" si="6"/>
        <v>AB</v>
      </c>
      <c r="S13" s="29">
        <f>IF(AND(OR(FILTER_Demo!$B$3="All",G13=FILTER_Demo!$B$3),OR(FILTER_Demo!$B$4="All",C13=FILTER_Demo!$B$4),F13&gt;=FILTER_Demo!$B$5),1,0)</f>
        <v>0</v>
      </c>
      <c r="T13" s="29" t="str">
        <f>IF(S13=1,SUM($S$2:S13),"")</f>
        <v/>
      </c>
    </row>
    <row r="14" spans="1:20" x14ac:dyDescent="0.3">
      <c r="A14" s="22" t="s">
        <v>122</v>
      </c>
      <c r="B14" s="27">
        <v>45682</v>
      </c>
      <c r="C14" s="22" t="s">
        <v>46</v>
      </c>
      <c r="D14" s="22">
        <v>1</v>
      </c>
      <c r="E14" s="23">
        <v>862</v>
      </c>
      <c r="F14" s="23">
        <v>862</v>
      </c>
      <c r="G14" s="22" t="s">
        <v>51</v>
      </c>
      <c r="H14" s="28">
        <v>241.46</v>
      </c>
      <c r="I14" s="22" t="s">
        <v>123</v>
      </c>
      <c r="J14" s="22" t="s">
        <v>68</v>
      </c>
      <c r="K14" s="22" t="s">
        <v>124</v>
      </c>
      <c r="L14" s="27">
        <f t="shared" si="0"/>
        <v>45688</v>
      </c>
      <c r="M14" s="29">
        <f t="shared" ca="1" si="1"/>
        <v>21</v>
      </c>
      <c r="N14" s="23">
        <f t="shared" ca="1" si="2"/>
        <v>643</v>
      </c>
      <c r="O14" s="24">
        <f t="shared" si="3"/>
        <v>0.28011600928074248</v>
      </c>
      <c r="P14" s="22" t="str">
        <f t="shared" si="4"/>
        <v>Repeat</v>
      </c>
      <c r="Q14" s="22" t="str">
        <f t="shared" si="5"/>
        <v>MOU-0125-00862</v>
      </c>
      <c r="R14" s="22" t="str">
        <f t="shared" si="6"/>
        <v>AI</v>
      </c>
      <c r="S14" s="29">
        <f>IF(AND(OR(FILTER_Demo!$B$3="All",G14=FILTER_Demo!$B$3),OR(FILTER_Demo!$B$4="All",C14=FILTER_Demo!$B$4),F14&gt;=FILTER_Demo!$B$5),1,0)</f>
        <v>0</v>
      </c>
      <c r="T14" s="29" t="str">
        <f>IF(S14=1,SUM($S$2:S14),"")</f>
        <v/>
      </c>
    </row>
    <row r="15" spans="1:20" x14ac:dyDescent="0.3">
      <c r="A15" s="22" t="s">
        <v>125</v>
      </c>
      <c r="B15" s="27">
        <v>45683</v>
      </c>
      <c r="C15" s="22" t="s">
        <v>40</v>
      </c>
      <c r="D15" s="22">
        <v>1</v>
      </c>
      <c r="E15" s="23">
        <v>8733</v>
      </c>
      <c r="F15" s="23">
        <v>8733</v>
      </c>
      <c r="G15" s="22" t="s">
        <v>55</v>
      </c>
      <c r="H15" s="28">
        <v>1587.62</v>
      </c>
      <c r="I15" s="22" t="s">
        <v>126</v>
      </c>
      <c r="J15" s="22" t="s">
        <v>64</v>
      </c>
      <c r="K15" s="22" t="s">
        <v>127</v>
      </c>
      <c r="L15" s="27">
        <f t="shared" si="0"/>
        <v>45688</v>
      </c>
      <c r="M15" s="29">
        <f t="shared" ca="1" si="1"/>
        <v>21</v>
      </c>
      <c r="N15" s="23">
        <f t="shared" ca="1" si="2"/>
        <v>642</v>
      </c>
      <c r="O15" s="24">
        <f t="shared" si="3"/>
        <v>0.18179548837741896</v>
      </c>
      <c r="P15" s="22" t="str">
        <f t="shared" si="4"/>
        <v>Repeat</v>
      </c>
      <c r="Q15" s="22" t="str">
        <f t="shared" si="5"/>
        <v>SMA-0125-08733</v>
      </c>
      <c r="R15" s="22" t="str">
        <f t="shared" si="6"/>
        <v>RB</v>
      </c>
      <c r="S15" s="29">
        <f>IF(AND(OR(FILTER_Demo!$B$3="All",G15=FILTER_Demo!$B$3),OR(FILTER_Demo!$B$4="All",C15=FILTER_Demo!$B$4),F15&gt;=FILTER_Demo!$B$5),1,0)</f>
        <v>0</v>
      </c>
      <c r="T15" s="29" t="str">
        <f>IF(S15=1,SUM($S$2:S15),"")</f>
        <v/>
      </c>
    </row>
    <row r="16" spans="1:20" x14ac:dyDescent="0.3">
      <c r="A16" s="22" t="s">
        <v>128</v>
      </c>
      <c r="B16" s="27">
        <v>45684</v>
      </c>
      <c r="C16" s="22" t="s">
        <v>44</v>
      </c>
      <c r="D16" s="22">
        <v>1</v>
      </c>
      <c r="E16" s="23">
        <v>2788</v>
      </c>
      <c r="F16" s="23">
        <v>2788</v>
      </c>
      <c r="G16" s="22" t="s">
        <v>52</v>
      </c>
      <c r="H16" s="28">
        <v>568.95000000000005</v>
      </c>
      <c r="I16" s="22" t="s">
        <v>129</v>
      </c>
      <c r="J16" s="22" t="s">
        <v>64</v>
      </c>
      <c r="K16" s="22" t="s">
        <v>130</v>
      </c>
      <c r="L16" s="27">
        <f t="shared" si="0"/>
        <v>45688</v>
      </c>
      <c r="M16" s="29">
        <f t="shared" ca="1" si="1"/>
        <v>21</v>
      </c>
      <c r="N16" s="23">
        <f t="shared" ca="1" si="2"/>
        <v>641</v>
      </c>
      <c r="O16" s="24">
        <f t="shared" si="3"/>
        <v>0.20407101865136301</v>
      </c>
      <c r="P16" s="22" t="str">
        <f t="shared" si="4"/>
        <v>Repeat</v>
      </c>
      <c r="Q16" s="22" t="str">
        <f t="shared" si="5"/>
        <v>WEB-0125-02788</v>
      </c>
      <c r="R16" s="22" t="str">
        <f t="shared" si="6"/>
        <v>RC</v>
      </c>
      <c r="S16" s="29">
        <f>IF(AND(OR(FILTER_Demo!$B$3="All",G16=FILTER_Demo!$B$3),OR(FILTER_Demo!$B$4="All",C16=FILTER_Demo!$B$4),F16&gt;=FILTER_Demo!$B$5),1,0)</f>
        <v>0</v>
      </c>
      <c r="T16" s="29" t="str">
        <f>IF(S16=1,SUM($S$2:S16),"")</f>
        <v/>
      </c>
    </row>
    <row r="17" spans="1:20" x14ac:dyDescent="0.3">
      <c r="A17" s="22" t="s">
        <v>131</v>
      </c>
      <c r="B17" s="27">
        <v>45685</v>
      </c>
      <c r="C17" s="22" t="s">
        <v>36</v>
      </c>
      <c r="D17" s="22">
        <v>1</v>
      </c>
      <c r="E17" s="23">
        <v>20126</v>
      </c>
      <c r="F17" s="23">
        <v>20126</v>
      </c>
      <c r="G17" s="22" t="s">
        <v>51</v>
      </c>
      <c r="H17" s="28">
        <v>2675.64</v>
      </c>
      <c r="I17" s="22" t="s">
        <v>132</v>
      </c>
      <c r="J17" s="22" t="s">
        <v>68</v>
      </c>
      <c r="K17" s="22" t="s">
        <v>133</v>
      </c>
      <c r="L17" s="27">
        <f t="shared" si="0"/>
        <v>45688</v>
      </c>
      <c r="M17" s="29">
        <f t="shared" ca="1" si="1"/>
        <v>21</v>
      </c>
      <c r="N17" s="23">
        <f t="shared" ca="1" si="2"/>
        <v>640</v>
      </c>
      <c r="O17" s="24">
        <f t="shared" si="3"/>
        <v>0.13294444996521912</v>
      </c>
      <c r="P17" s="22" t="str">
        <f t="shared" si="4"/>
        <v>Repeat</v>
      </c>
      <c r="Q17" s="22" t="str">
        <f t="shared" si="5"/>
        <v>SMA-0125-20126</v>
      </c>
      <c r="R17" s="22" t="str">
        <f t="shared" si="6"/>
        <v>RR</v>
      </c>
      <c r="S17" s="29">
        <f>IF(AND(OR(FILTER_Demo!$B$3="All",G17=FILTER_Demo!$B$3),OR(FILTER_Demo!$B$4="All",C17=FILTER_Demo!$B$4),F17&gt;=FILTER_Demo!$B$5),1,0)</f>
        <v>0</v>
      </c>
      <c r="T17" s="29" t="str">
        <f>IF(S17=1,SUM($S$2:S17),"")</f>
        <v/>
      </c>
    </row>
    <row r="18" spans="1:20" x14ac:dyDescent="0.3">
      <c r="A18" s="22" t="s">
        <v>134</v>
      </c>
      <c r="B18" s="27">
        <v>45686</v>
      </c>
      <c r="C18" s="22" t="s">
        <v>43</v>
      </c>
      <c r="D18" s="22">
        <v>3</v>
      </c>
      <c r="E18" s="23">
        <v>3240</v>
      </c>
      <c r="F18" s="23">
        <v>9720</v>
      </c>
      <c r="G18" s="22" t="s">
        <v>49</v>
      </c>
      <c r="H18" s="28">
        <v>2432.7800000000002</v>
      </c>
      <c r="I18" s="22" t="s">
        <v>135</v>
      </c>
      <c r="J18" s="22" t="s">
        <v>65</v>
      </c>
      <c r="K18" s="22" t="s">
        <v>136</v>
      </c>
      <c r="L18" s="27">
        <f t="shared" si="0"/>
        <v>45688</v>
      </c>
      <c r="M18" s="29">
        <f t="shared" ca="1" si="1"/>
        <v>21</v>
      </c>
      <c r="N18" s="23">
        <f t="shared" ca="1" si="2"/>
        <v>639</v>
      </c>
      <c r="O18" s="24">
        <f t="shared" si="3"/>
        <v>0.25028600823045272</v>
      </c>
      <c r="P18" s="22" t="str">
        <f t="shared" si="4"/>
        <v>Repeat</v>
      </c>
      <c r="Q18" s="22" t="str">
        <f t="shared" si="5"/>
        <v>HEA-0125-09720</v>
      </c>
      <c r="R18" s="22" t="str">
        <f t="shared" si="6"/>
        <v>SM</v>
      </c>
      <c r="S18" s="29">
        <f>IF(AND(OR(FILTER_Demo!$B$3="All",G18=FILTER_Demo!$B$3),OR(FILTER_Demo!$B$4="All",C18=FILTER_Demo!$B$4),F18&gt;=FILTER_Demo!$B$5),1,0)</f>
        <v>0</v>
      </c>
      <c r="T18" s="29" t="str">
        <f>IF(S18=1,SUM($S$2:S18),"")</f>
        <v/>
      </c>
    </row>
    <row r="19" spans="1:20" x14ac:dyDescent="0.3">
      <c r="A19" s="22" t="s">
        <v>137</v>
      </c>
      <c r="B19" s="27">
        <v>45687</v>
      </c>
      <c r="C19" s="22" t="s">
        <v>44</v>
      </c>
      <c r="D19" s="22">
        <v>1</v>
      </c>
      <c r="E19" s="23">
        <v>3035</v>
      </c>
      <c r="F19" s="23">
        <v>3035</v>
      </c>
      <c r="G19" s="22" t="s">
        <v>55</v>
      </c>
      <c r="H19" s="28">
        <v>677.15</v>
      </c>
      <c r="I19" s="22" t="s">
        <v>138</v>
      </c>
      <c r="J19" s="22" t="s">
        <v>65</v>
      </c>
      <c r="K19" s="22" t="s">
        <v>139</v>
      </c>
      <c r="L19" s="27">
        <f t="shared" si="0"/>
        <v>45688</v>
      </c>
      <c r="M19" s="29">
        <f t="shared" ca="1" si="1"/>
        <v>21</v>
      </c>
      <c r="N19" s="23">
        <f t="shared" ca="1" si="2"/>
        <v>638</v>
      </c>
      <c r="O19" s="24">
        <f t="shared" si="3"/>
        <v>0.22311367380560132</v>
      </c>
      <c r="P19" s="22" t="str">
        <f t="shared" si="4"/>
        <v>Repeat</v>
      </c>
      <c r="Q19" s="22" t="str">
        <f t="shared" si="5"/>
        <v>WEB-0125-03035</v>
      </c>
      <c r="R19" s="22" t="str">
        <f t="shared" si="6"/>
        <v>NM</v>
      </c>
      <c r="S19" s="29">
        <f>IF(AND(OR(FILTER_Demo!$B$3="All",G19=FILTER_Demo!$B$3),OR(FILTER_Demo!$B$4="All",C19=FILTER_Demo!$B$4),F19&gt;=FILTER_Demo!$B$5),1,0)</f>
        <v>0</v>
      </c>
      <c r="T19" s="29" t="str">
        <f>IF(S19=1,SUM($S$2:S19),"")</f>
        <v/>
      </c>
    </row>
    <row r="20" spans="1:20" x14ac:dyDescent="0.3">
      <c r="A20" s="22" t="s">
        <v>140</v>
      </c>
      <c r="B20" s="27">
        <v>45687</v>
      </c>
      <c r="C20" s="22" t="s">
        <v>45</v>
      </c>
      <c r="D20" s="22">
        <v>2</v>
      </c>
      <c r="E20" s="23">
        <v>1777</v>
      </c>
      <c r="F20" s="23">
        <v>3554</v>
      </c>
      <c r="G20" s="22" t="s">
        <v>49</v>
      </c>
      <c r="H20" s="28">
        <v>1044.69</v>
      </c>
      <c r="I20" s="22" t="s">
        <v>141</v>
      </c>
      <c r="J20" s="22" t="s">
        <v>66</v>
      </c>
      <c r="K20" s="22" t="s">
        <v>142</v>
      </c>
      <c r="L20" s="27">
        <f t="shared" si="0"/>
        <v>45688</v>
      </c>
      <c r="M20" s="29">
        <f t="shared" ca="1" si="1"/>
        <v>21</v>
      </c>
      <c r="N20" s="23">
        <f t="shared" ca="1" si="2"/>
        <v>638</v>
      </c>
      <c r="O20" s="24">
        <f t="shared" si="3"/>
        <v>0.29394766460326394</v>
      </c>
      <c r="P20" s="22" t="str">
        <f t="shared" si="4"/>
        <v>Repeat</v>
      </c>
      <c r="Q20" s="22" t="str">
        <f t="shared" si="5"/>
        <v>KEY-0125-03554</v>
      </c>
      <c r="R20" s="22" t="str">
        <f t="shared" si="6"/>
        <v>MT</v>
      </c>
      <c r="S20" s="29">
        <f>IF(AND(OR(FILTER_Demo!$B$3="All",G20=FILTER_Demo!$B$3),OR(FILTER_Demo!$B$4="All",C20=FILTER_Demo!$B$4),F20&gt;=FILTER_Demo!$B$5),1,0)</f>
        <v>0</v>
      </c>
      <c r="T20" s="29" t="str">
        <f>IF(S20=1,SUM($S$2:S20),"")</f>
        <v/>
      </c>
    </row>
    <row r="21" spans="1:20" x14ac:dyDescent="0.3">
      <c r="A21" s="22" t="s">
        <v>143</v>
      </c>
      <c r="B21" s="27">
        <v>45689</v>
      </c>
      <c r="C21" s="22" t="s">
        <v>39</v>
      </c>
      <c r="D21" s="22">
        <v>1</v>
      </c>
      <c r="E21" s="23">
        <v>16411</v>
      </c>
      <c r="F21" s="23">
        <v>16411</v>
      </c>
      <c r="G21" s="22" t="s">
        <v>52</v>
      </c>
      <c r="H21" s="28">
        <v>2520.3000000000002</v>
      </c>
      <c r="I21" s="22" t="s">
        <v>144</v>
      </c>
      <c r="J21" s="22" t="s">
        <v>64</v>
      </c>
      <c r="K21" s="22" t="s">
        <v>145</v>
      </c>
      <c r="L21" s="27">
        <f t="shared" si="0"/>
        <v>45716</v>
      </c>
      <c r="M21" s="29">
        <f t="shared" ca="1" si="1"/>
        <v>20</v>
      </c>
      <c r="N21" s="23">
        <f t="shared" ca="1" si="2"/>
        <v>636</v>
      </c>
      <c r="O21" s="24">
        <f t="shared" si="3"/>
        <v>0.15357382243617088</v>
      </c>
      <c r="P21" s="22" t="str">
        <f t="shared" si="4"/>
        <v>Repeat</v>
      </c>
      <c r="Q21" s="22" t="str">
        <f t="shared" si="5"/>
        <v>TAB-0225-16411</v>
      </c>
      <c r="R21" s="22" t="str">
        <f t="shared" si="6"/>
        <v>AS</v>
      </c>
      <c r="S21" s="29">
        <f>IF(AND(OR(FILTER_Demo!$B$3="All",G21=FILTER_Demo!$B$3),OR(FILTER_Demo!$B$4="All",C21=FILTER_Demo!$B$4),F21&gt;=FILTER_Demo!$B$5),1,0)</f>
        <v>1</v>
      </c>
      <c r="T21" s="29">
        <f>IF(S21=1,SUM($S$2:S21),"")</f>
        <v>2</v>
      </c>
    </row>
    <row r="22" spans="1:20" x14ac:dyDescent="0.3">
      <c r="A22" s="22" t="s">
        <v>146</v>
      </c>
      <c r="B22" s="27">
        <v>45690</v>
      </c>
      <c r="C22" s="22" t="s">
        <v>43</v>
      </c>
      <c r="D22" s="22">
        <v>1</v>
      </c>
      <c r="E22" s="23">
        <v>3636</v>
      </c>
      <c r="F22" s="23">
        <v>3636</v>
      </c>
      <c r="G22" s="22" t="s">
        <v>53</v>
      </c>
      <c r="H22" s="28">
        <v>984.05</v>
      </c>
      <c r="I22" s="22" t="s">
        <v>98</v>
      </c>
      <c r="J22" s="22" t="s">
        <v>66</v>
      </c>
      <c r="K22" s="22" t="s">
        <v>99</v>
      </c>
      <c r="L22" s="27">
        <f t="shared" si="0"/>
        <v>45716</v>
      </c>
      <c r="M22" s="29">
        <f t="shared" ca="1" si="1"/>
        <v>20</v>
      </c>
      <c r="N22" s="23">
        <f t="shared" ca="1" si="2"/>
        <v>635</v>
      </c>
      <c r="O22" s="24">
        <f t="shared" si="3"/>
        <v>0.27064081408140811</v>
      </c>
      <c r="P22" s="22" t="str">
        <f t="shared" si="4"/>
        <v>Repeat</v>
      </c>
      <c r="Q22" s="22" t="str">
        <f t="shared" si="5"/>
        <v>HEA-0225-03636</v>
      </c>
      <c r="R22" s="22" t="str">
        <f t="shared" si="6"/>
        <v>MN</v>
      </c>
      <c r="S22" s="29">
        <f>IF(AND(OR(FILTER_Demo!$B$3="All",G22=FILTER_Demo!$B$3),OR(FILTER_Demo!$B$4="All",C22=FILTER_Demo!$B$4),F22&gt;=FILTER_Demo!$B$5),1,0)</f>
        <v>0</v>
      </c>
      <c r="T22" s="29" t="str">
        <f>IF(S22=1,SUM($S$2:S22),"")</f>
        <v/>
      </c>
    </row>
    <row r="23" spans="1:20" x14ac:dyDescent="0.3">
      <c r="A23" s="22" t="s">
        <v>147</v>
      </c>
      <c r="B23" s="27">
        <v>45692</v>
      </c>
      <c r="C23" s="22" t="s">
        <v>43</v>
      </c>
      <c r="D23" s="22">
        <v>2</v>
      </c>
      <c r="E23" s="23">
        <v>3210</v>
      </c>
      <c r="F23" s="23">
        <v>6420</v>
      </c>
      <c r="G23" s="22" t="s">
        <v>55</v>
      </c>
      <c r="H23" s="28">
        <v>1909.73</v>
      </c>
      <c r="I23" s="22" t="s">
        <v>148</v>
      </c>
      <c r="J23" s="22" t="s">
        <v>68</v>
      </c>
      <c r="K23" s="22" t="s">
        <v>149</v>
      </c>
      <c r="L23" s="27">
        <f t="shared" si="0"/>
        <v>45716</v>
      </c>
      <c r="M23" s="29">
        <f t="shared" ca="1" si="1"/>
        <v>20</v>
      </c>
      <c r="N23" s="23">
        <f t="shared" ca="1" si="2"/>
        <v>633</v>
      </c>
      <c r="O23" s="24">
        <f t="shared" si="3"/>
        <v>0.29746573208722743</v>
      </c>
      <c r="P23" s="22" t="str">
        <f t="shared" si="4"/>
        <v>Repeat</v>
      </c>
      <c r="Q23" s="22" t="str">
        <f t="shared" si="5"/>
        <v>HEA-0225-06420</v>
      </c>
      <c r="R23" s="22" t="str">
        <f t="shared" si="6"/>
        <v>KP</v>
      </c>
      <c r="S23" s="29">
        <f>IF(AND(OR(FILTER_Demo!$B$3="All",G23=FILTER_Demo!$B$3),OR(FILTER_Demo!$B$4="All",C23=FILTER_Demo!$B$4),F23&gt;=FILTER_Demo!$B$5),1,0)</f>
        <v>0</v>
      </c>
      <c r="T23" s="29" t="str">
        <f>IF(S23=1,SUM($S$2:S23),"")</f>
        <v/>
      </c>
    </row>
    <row r="24" spans="1:20" x14ac:dyDescent="0.3">
      <c r="A24" s="22" t="s">
        <v>150</v>
      </c>
      <c r="B24" s="27">
        <v>45693</v>
      </c>
      <c r="C24" s="22" t="s">
        <v>44</v>
      </c>
      <c r="D24" s="22">
        <v>4</v>
      </c>
      <c r="E24" s="23">
        <v>2568</v>
      </c>
      <c r="F24" s="23">
        <v>10272</v>
      </c>
      <c r="G24" s="22" t="s">
        <v>55</v>
      </c>
      <c r="H24" s="28">
        <v>2245.4499999999998</v>
      </c>
      <c r="I24" s="22" t="s">
        <v>151</v>
      </c>
      <c r="J24" s="22" t="s">
        <v>65</v>
      </c>
      <c r="K24" s="22" t="s">
        <v>152</v>
      </c>
      <c r="L24" s="27">
        <f t="shared" si="0"/>
        <v>45716</v>
      </c>
      <c r="M24" s="29">
        <f t="shared" ca="1" si="1"/>
        <v>20</v>
      </c>
      <c r="N24" s="23">
        <f t="shared" ca="1" si="2"/>
        <v>632</v>
      </c>
      <c r="O24" s="24">
        <f t="shared" si="3"/>
        <v>0.2185991043613707</v>
      </c>
      <c r="P24" s="22" t="str">
        <f t="shared" si="4"/>
        <v>Repeat</v>
      </c>
      <c r="Q24" s="22" t="str">
        <f t="shared" si="5"/>
        <v>WEB-0225-10272</v>
      </c>
      <c r="R24" s="22" t="str">
        <f t="shared" si="6"/>
        <v>AM</v>
      </c>
      <c r="S24" s="29">
        <f>IF(AND(OR(FILTER_Demo!$B$3="All",G24=FILTER_Demo!$B$3),OR(FILTER_Demo!$B$4="All",C24=FILTER_Demo!$B$4),F24&gt;=FILTER_Demo!$B$5),1,0)</f>
        <v>0</v>
      </c>
      <c r="T24" s="29" t="str">
        <f>IF(S24=1,SUM($S$2:S24),"")</f>
        <v/>
      </c>
    </row>
    <row r="25" spans="1:20" x14ac:dyDescent="0.3">
      <c r="A25" s="22" t="s">
        <v>153</v>
      </c>
      <c r="B25" s="27">
        <v>45695</v>
      </c>
      <c r="C25" s="22" t="s">
        <v>43</v>
      </c>
      <c r="D25" s="22">
        <v>1</v>
      </c>
      <c r="E25" s="23">
        <v>3321</v>
      </c>
      <c r="F25" s="23">
        <v>3321</v>
      </c>
      <c r="G25" s="22" t="s">
        <v>53</v>
      </c>
      <c r="H25" s="28">
        <v>821.99</v>
      </c>
      <c r="I25" s="22" t="s">
        <v>123</v>
      </c>
      <c r="J25" s="22" t="s">
        <v>68</v>
      </c>
      <c r="K25" s="22" t="s">
        <v>124</v>
      </c>
      <c r="L25" s="27">
        <f t="shared" si="0"/>
        <v>45716</v>
      </c>
      <c r="M25" s="29">
        <f t="shared" ca="1" si="1"/>
        <v>20</v>
      </c>
      <c r="N25" s="23">
        <f t="shared" ca="1" si="2"/>
        <v>630</v>
      </c>
      <c r="O25" s="24">
        <f t="shared" si="3"/>
        <v>0.24751279735019574</v>
      </c>
      <c r="P25" s="22" t="str">
        <f t="shared" si="4"/>
        <v>Repeat</v>
      </c>
      <c r="Q25" s="22" t="str">
        <f t="shared" si="5"/>
        <v>HEA-0225-03321</v>
      </c>
      <c r="R25" s="22" t="str">
        <f t="shared" si="6"/>
        <v>AI</v>
      </c>
      <c r="S25" s="29">
        <f>IF(AND(OR(FILTER_Demo!$B$3="All",G25=FILTER_Demo!$B$3),OR(FILTER_Demo!$B$4="All",C25=FILTER_Demo!$B$4),F25&gt;=FILTER_Demo!$B$5),1,0)</f>
        <v>0</v>
      </c>
      <c r="T25" s="29" t="str">
        <f>IF(S25=1,SUM($S$2:S25),"")</f>
        <v/>
      </c>
    </row>
    <row r="26" spans="1:20" x14ac:dyDescent="0.3">
      <c r="A26" s="22" t="s">
        <v>154</v>
      </c>
      <c r="B26" s="27">
        <v>45697</v>
      </c>
      <c r="C26" s="22" t="s">
        <v>43</v>
      </c>
      <c r="D26" s="22">
        <v>2</v>
      </c>
      <c r="E26" s="23">
        <v>3814</v>
      </c>
      <c r="F26" s="23">
        <v>7628</v>
      </c>
      <c r="G26" s="22" t="s">
        <v>55</v>
      </c>
      <c r="H26" s="28">
        <v>1809.37</v>
      </c>
      <c r="I26" s="22" t="s">
        <v>155</v>
      </c>
      <c r="J26" s="22" t="s">
        <v>68</v>
      </c>
      <c r="K26" s="22" t="s">
        <v>156</v>
      </c>
      <c r="L26" s="27">
        <f t="shared" si="0"/>
        <v>45716</v>
      </c>
      <c r="M26" s="29">
        <f t="shared" ca="1" si="1"/>
        <v>20</v>
      </c>
      <c r="N26" s="23">
        <f t="shared" ca="1" si="2"/>
        <v>628</v>
      </c>
      <c r="O26" s="24">
        <f t="shared" si="3"/>
        <v>0.23720110120608284</v>
      </c>
      <c r="P26" s="22" t="str">
        <f t="shared" si="4"/>
        <v>Repeat</v>
      </c>
      <c r="Q26" s="22" t="str">
        <f t="shared" si="5"/>
        <v>HEA-0225-07628</v>
      </c>
      <c r="R26" s="22" t="str">
        <f t="shared" si="6"/>
        <v>AS</v>
      </c>
      <c r="S26" s="29">
        <f>IF(AND(OR(FILTER_Demo!$B$3="All",G26=FILTER_Demo!$B$3),OR(FILTER_Demo!$B$4="All",C26=FILTER_Demo!$B$4),F26&gt;=FILTER_Demo!$B$5),1,0)</f>
        <v>0</v>
      </c>
      <c r="T26" s="29" t="str">
        <f>IF(S26=1,SUM($S$2:S26),"")</f>
        <v/>
      </c>
    </row>
    <row r="27" spans="1:20" x14ac:dyDescent="0.3">
      <c r="A27" s="22" t="s">
        <v>157</v>
      </c>
      <c r="B27" s="27">
        <v>45699</v>
      </c>
      <c r="C27" s="22" t="s">
        <v>35</v>
      </c>
      <c r="D27" s="22">
        <v>1</v>
      </c>
      <c r="E27" s="23">
        <v>47290</v>
      </c>
      <c r="F27" s="23">
        <v>47290</v>
      </c>
      <c r="G27" s="22" t="s">
        <v>52</v>
      </c>
      <c r="H27" s="28">
        <v>4491.43</v>
      </c>
      <c r="I27" s="22" t="s">
        <v>158</v>
      </c>
      <c r="J27" s="22" t="s">
        <v>67</v>
      </c>
      <c r="K27" s="22" t="s">
        <v>159</v>
      </c>
      <c r="L27" s="27">
        <f t="shared" si="0"/>
        <v>45716</v>
      </c>
      <c r="M27" s="29">
        <f t="shared" ca="1" si="1"/>
        <v>20</v>
      </c>
      <c r="N27" s="23">
        <f t="shared" ca="1" si="2"/>
        <v>626</v>
      </c>
      <c r="O27" s="24">
        <f t="shared" si="3"/>
        <v>9.4976316345950523E-2</v>
      </c>
      <c r="P27" s="22" t="str">
        <f t="shared" si="4"/>
        <v>Repeat</v>
      </c>
      <c r="Q27" s="22" t="str">
        <f t="shared" si="5"/>
        <v>LAP-0225-47290</v>
      </c>
      <c r="R27" s="22" t="str">
        <f t="shared" si="6"/>
        <v>RI</v>
      </c>
      <c r="S27" s="29">
        <f>IF(AND(OR(FILTER_Demo!$B$3="All",G27=FILTER_Demo!$B$3),OR(FILTER_Demo!$B$4="All",C27=FILTER_Demo!$B$4),F27&gt;=FILTER_Demo!$B$5),1,0)</f>
        <v>0</v>
      </c>
      <c r="T27" s="29" t="str">
        <f>IF(S27=1,SUM($S$2:S27),"")</f>
        <v/>
      </c>
    </row>
    <row r="28" spans="1:20" x14ac:dyDescent="0.3">
      <c r="A28" s="22" t="s">
        <v>160</v>
      </c>
      <c r="B28" s="27">
        <v>45700</v>
      </c>
      <c r="C28" s="22" t="s">
        <v>38</v>
      </c>
      <c r="D28" s="22">
        <v>1</v>
      </c>
      <c r="E28" s="23">
        <v>12713</v>
      </c>
      <c r="F28" s="23">
        <v>12713</v>
      </c>
      <c r="G28" s="22" t="s">
        <v>53</v>
      </c>
      <c r="H28" s="28">
        <v>1610.38</v>
      </c>
      <c r="I28" s="22" t="s">
        <v>138</v>
      </c>
      <c r="J28" s="22" t="s">
        <v>67</v>
      </c>
      <c r="K28" s="22" t="s">
        <v>139</v>
      </c>
      <c r="L28" s="27">
        <f t="shared" si="0"/>
        <v>45716</v>
      </c>
      <c r="M28" s="29">
        <f t="shared" ca="1" si="1"/>
        <v>20</v>
      </c>
      <c r="N28" s="23">
        <f t="shared" ca="1" si="2"/>
        <v>625</v>
      </c>
      <c r="O28" s="24">
        <f t="shared" si="3"/>
        <v>0.12667191064264927</v>
      </c>
      <c r="P28" s="22" t="str">
        <f t="shared" si="4"/>
        <v>Repeat</v>
      </c>
      <c r="Q28" s="22" t="str">
        <f t="shared" si="5"/>
        <v>MON-0225-12713</v>
      </c>
      <c r="R28" s="22" t="str">
        <f t="shared" si="6"/>
        <v>NM</v>
      </c>
      <c r="S28" s="29">
        <f>IF(AND(OR(FILTER_Demo!$B$3="All",G28=FILTER_Demo!$B$3),OR(FILTER_Demo!$B$4="All",C28=FILTER_Demo!$B$4),F28&gt;=FILTER_Demo!$B$5),1,0)</f>
        <v>0</v>
      </c>
      <c r="T28" s="29" t="str">
        <f>IF(S28=1,SUM($S$2:S28),"")</f>
        <v/>
      </c>
    </row>
    <row r="29" spans="1:20" x14ac:dyDescent="0.3">
      <c r="A29" s="22" t="s">
        <v>161</v>
      </c>
      <c r="B29" s="27">
        <v>45704</v>
      </c>
      <c r="C29" s="22" t="s">
        <v>45</v>
      </c>
      <c r="D29" s="22">
        <v>1</v>
      </c>
      <c r="E29" s="23">
        <v>1979</v>
      </c>
      <c r="F29" s="23">
        <v>1979</v>
      </c>
      <c r="G29" s="22" t="s">
        <v>49</v>
      </c>
      <c r="H29" s="28">
        <v>556.01</v>
      </c>
      <c r="I29" s="22" t="s">
        <v>162</v>
      </c>
      <c r="J29" s="22" t="s">
        <v>65</v>
      </c>
      <c r="K29" s="22" t="s">
        <v>163</v>
      </c>
      <c r="L29" s="27">
        <f t="shared" si="0"/>
        <v>45716</v>
      </c>
      <c r="M29" s="29">
        <f t="shared" ca="1" si="1"/>
        <v>20</v>
      </c>
      <c r="N29" s="23">
        <f t="shared" ca="1" si="2"/>
        <v>621</v>
      </c>
      <c r="O29" s="24">
        <f t="shared" si="3"/>
        <v>0.28095502779181403</v>
      </c>
      <c r="P29" s="22" t="str">
        <f t="shared" si="4"/>
        <v>Repeat</v>
      </c>
      <c r="Q29" s="22" t="str">
        <f t="shared" si="5"/>
        <v>KEY-0225-01979</v>
      </c>
      <c r="R29" s="22" t="str">
        <f t="shared" si="6"/>
        <v>IT</v>
      </c>
      <c r="S29" s="29">
        <f>IF(AND(OR(FILTER_Demo!$B$3="All",G29=FILTER_Demo!$B$3),OR(FILTER_Demo!$B$4="All",C29=FILTER_Demo!$B$4),F29&gt;=FILTER_Demo!$B$5),1,0)</f>
        <v>0</v>
      </c>
      <c r="T29" s="29" t="str">
        <f>IF(S29=1,SUM($S$2:S29),"")</f>
        <v/>
      </c>
    </row>
    <row r="30" spans="1:20" x14ac:dyDescent="0.3">
      <c r="A30" s="22" t="s">
        <v>164</v>
      </c>
      <c r="B30" s="27">
        <v>45704</v>
      </c>
      <c r="C30" s="22" t="s">
        <v>46</v>
      </c>
      <c r="D30" s="22">
        <v>1</v>
      </c>
      <c r="E30" s="23">
        <v>943</v>
      </c>
      <c r="F30" s="23">
        <v>943</v>
      </c>
      <c r="G30" s="22" t="s">
        <v>55</v>
      </c>
      <c r="H30" s="28">
        <v>327.39</v>
      </c>
      <c r="I30" s="22" t="s">
        <v>165</v>
      </c>
      <c r="J30" s="22" t="s">
        <v>67</v>
      </c>
      <c r="K30" s="22" t="s">
        <v>166</v>
      </c>
      <c r="L30" s="27">
        <f t="shared" si="0"/>
        <v>45716</v>
      </c>
      <c r="M30" s="29">
        <f t="shared" ca="1" si="1"/>
        <v>20</v>
      </c>
      <c r="N30" s="23">
        <f t="shared" ca="1" si="2"/>
        <v>621</v>
      </c>
      <c r="O30" s="24">
        <f t="shared" si="3"/>
        <v>0.34717921527041357</v>
      </c>
      <c r="P30" s="22" t="str">
        <f t="shared" si="4"/>
        <v>Repeat</v>
      </c>
      <c r="Q30" s="22" t="str">
        <f t="shared" si="5"/>
        <v>MOU-0225-00943</v>
      </c>
      <c r="R30" s="22" t="str">
        <f t="shared" si="6"/>
        <v>KS</v>
      </c>
      <c r="S30" s="29">
        <f>IF(AND(OR(FILTER_Demo!$B$3="All",G30=FILTER_Demo!$B$3),OR(FILTER_Demo!$B$4="All",C30=FILTER_Demo!$B$4),F30&gt;=FILTER_Demo!$B$5),1,0)</f>
        <v>0</v>
      </c>
      <c r="T30" s="29" t="str">
        <f>IF(S30=1,SUM($S$2:S30),"")</f>
        <v/>
      </c>
    </row>
    <row r="31" spans="1:20" x14ac:dyDescent="0.3">
      <c r="A31" s="22" t="s">
        <v>167</v>
      </c>
      <c r="B31" s="27">
        <v>45705</v>
      </c>
      <c r="C31" s="22" t="s">
        <v>39</v>
      </c>
      <c r="D31" s="22">
        <v>1</v>
      </c>
      <c r="E31" s="23">
        <v>19646</v>
      </c>
      <c r="F31" s="23">
        <v>19646</v>
      </c>
      <c r="G31" s="22" t="s">
        <v>53</v>
      </c>
      <c r="H31" s="28">
        <v>2232.9499999999998</v>
      </c>
      <c r="I31" s="22" t="s">
        <v>107</v>
      </c>
      <c r="J31" s="22" t="s">
        <v>66</v>
      </c>
      <c r="K31" s="22" t="s">
        <v>108</v>
      </c>
      <c r="L31" s="27">
        <f t="shared" si="0"/>
        <v>45716</v>
      </c>
      <c r="M31" s="29">
        <f t="shared" ca="1" si="1"/>
        <v>20</v>
      </c>
      <c r="N31" s="23">
        <f t="shared" ca="1" si="2"/>
        <v>620</v>
      </c>
      <c r="O31" s="24">
        <f t="shared" si="3"/>
        <v>0.11365926906240455</v>
      </c>
      <c r="P31" s="22" t="str">
        <f t="shared" si="4"/>
        <v>Repeat</v>
      </c>
      <c r="Q31" s="22" t="str">
        <f t="shared" si="5"/>
        <v>TAB-0225-19646</v>
      </c>
      <c r="R31" s="22" t="str">
        <f t="shared" si="6"/>
        <v>VM</v>
      </c>
      <c r="S31" s="29">
        <f>IF(AND(OR(FILTER_Demo!$B$3="All",G31=FILTER_Demo!$B$3),OR(FILTER_Demo!$B$4="All",C31=FILTER_Demo!$B$4),F31&gt;=FILTER_Demo!$B$5),1,0)</f>
        <v>1</v>
      </c>
      <c r="T31" s="29">
        <f>IF(S31=1,SUM($S$2:S31),"")</f>
        <v>3</v>
      </c>
    </row>
    <row r="32" spans="1:20" x14ac:dyDescent="0.3">
      <c r="A32" s="22" t="s">
        <v>168</v>
      </c>
      <c r="B32" s="27">
        <v>45709</v>
      </c>
      <c r="C32" s="22" t="s">
        <v>36</v>
      </c>
      <c r="D32" s="22">
        <v>1</v>
      </c>
      <c r="E32" s="23">
        <v>22533</v>
      </c>
      <c r="F32" s="23">
        <v>22533</v>
      </c>
      <c r="G32" s="22" t="s">
        <v>49</v>
      </c>
      <c r="H32" s="28">
        <v>2845.9</v>
      </c>
      <c r="I32" s="22" t="s">
        <v>119</v>
      </c>
      <c r="J32" s="22" t="s">
        <v>65</v>
      </c>
      <c r="K32" s="22" t="s">
        <v>120</v>
      </c>
      <c r="L32" s="27">
        <f t="shared" si="0"/>
        <v>45716</v>
      </c>
      <c r="M32" s="29">
        <f t="shared" ca="1" si="1"/>
        <v>20</v>
      </c>
      <c r="N32" s="23">
        <f t="shared" ca="1" si="2"/>
        <v>616</v>
      </c>
      <c r="O32" s="24">
        <f t="shared" si="3"/>
        <v>0.12629920560955044</v>
      </c>
      <c r="P32" s="22" t="str">
        <f t="shared" si="4"/>
        <v>Repeat</v>
      </c>
      <c r="Q32" s="22" t="str">
        <f t="shared" si="5"/>
        <v>SMA-0225-22533</v>
      </c>
      <c r="R32" s="22" t="str">
        <f t="shared" si="6"/>
        <v>AR</v>
      </c>
      <c r="S32" s="29">
        <f>IF(AND(OR(FILTER_Demo!$B$3="All",G32=FILTER_Demo!$B$3),OR(FILTER_Demo!$B$4="All",C32=FILTER_Demo!$B$4),F32&gt;=FILTER_Demo!$B$5),1,0)</f>
        <v>0</v>
      </c>
      <c r="T32" s="29" t="str">
        <f>IF(S32=1,SUM($S$2:S32),"")</f>
        <v/>
      </c>
    </row>
    <row r="33" spans="1:20" x14ac:dyDescent="0.3">
      <c r="A33" s="22" t="s">
        <v>169</v>
      </c>
      <c r="B33" s="27">
        <v>45709</v>
      </c>
      <c r="C33" s="22" t="s">
        <v>35</v>
      </c>
      <c r="D33" s="22">
        <v>1</v>
      </c>
      <c r="E33" s="23">
        <v>49188</v>
      </c>
      <c r="F33" s="23">
        <v>49188</v>
      </c>
      <c r="G33" s="22" t="s">
        <v>53</v>
      </c>
      <c r="H33" s="28">
        <v>6059.94</v>
      </c>
      <c r="I33" s="22" t="s">
        <v>107</v>
      </c>
      <c r="J33" s="22" t="s">
        <v>68</v>
      </c>
      <c r="K33" s="22" t="s">
        <v>108</v>
      </c>
      <c r="L33" s="27">
        <f t="shared" si="0"/>
        <v>45716</v>
      </c>
      <c r="M33" s="29">
        <f t="shared" ca="1" si="1"/>
        <v>20</v>
      </c>
      <c r="N33" s="23">
        <f t="shared" ca="1" si="2"/>
        <v>616</v>
      </c>
      <c r="O33" s="24">
        <f t="shared" si="3"/>
        <v>0.1231995608685045</v>
      </c>
      <c r="P33" s="22" t="str">
        <f t="shared" si="4"/>
        <v>Repeat</v>
      </c>
      <c r="Q33" s="22" t="str">
        <f t="shared" si="5"/>
        <v>LAP-0225-49188</v>
      </c>
      <c r="R33" s="22" t="str">
        <f t="shared" si="6"/>
        <v>VM</v>
      </c>
      <c r="S33" s="29">
        <f>IF(AND(OR(FILTER_Demo!$B$3="All",G33=FILTER_Demo!$B$3),OR(FILTER_Demo!$B$4="All",C33=FILTER_Demo!$B$4),F33&gt;=FILTER_Demo!$B$5),1,0)</f>
        <v>0</v>
      </c>
      <c r="T33" s="29" t="str">
        <f>IF(S33=1,SUM($S$2:S33),"")</f>
        <v/>
      </c>
    </row>
    <row r="34" spans="1:20" x14ac:dyDescent="0.3">
      <c r="A34" s="22" t="s">
        <v>170</v>
      </c>
      <c r="B34" s="27">
        <v>45709</v>
      </c>
      <c r="C34" s="22" t="s">
        <v>46</v>
      </c>
      <c r="D34" s="22">
        <v>5</v>
      </c>
      <c r="E34" s="23">
        <v>947</v>
      </c>
      <c r="F34" s="23">
        <v>4735</v>
      </c>
      <c r="G34" s="22" t="s">
        <v>53</v>
      </c>
      <c r="H34" s="28">
        <v>1517.04</v>
      </c>
      <c r="I34" s="22" t="s">
        <v>171</v>
      </c>
      <c r="J34" s="22" t="s">
        <v>66</v>
      </c>
      <c r="K34" s="22" t="s">
        <v>172</v>
      </c>
      <c r="L34" s="27">
        <f t="shared" si="0"/>
        <v>45716</v>
      </c>
      <c r="M34" s="29">
        <f t="shared" ca="1" si="1"/>
        <v>20</v>
      </c>
      <c r="N34" s="23">
        <f t="shared" ca="1" si="2"/>
        <v>616</v>
      </c>
      <c r="O34" s="24">
        <f t="shared" si="3"/>
        <v>0.32038859556494192</v>
      </c>
      <c r="P34" s="22" t="str">
        <f t="shared" si="4"/>
        <v>One-time</v>
      </c>
      <c r="Q34" s="22" t="str">
        <f t="shared" si="5"/>
        <v>MOU-0225-04735</v>
      </c>
      <c r="R34" s="22" t="str">
        <f t="shared" si="6"/>
        <v>VT</v>
      </c>
      <c r="S34" s="29">
        <f>IF(AND(OR(FILTER_Demo!$B$3="All",G34=FILTER_Demo!$B$3),OR(FILTER_Demo!$B$4="All",C34=FILTER_Demo!$B$4),F34&gt;=FILTER_Demo!$B$5),1,0)</f>
        <v>0</v>
      </c>
      <c r="T34" s="29" t="str">
        <f>IF(S34=1,SUM($S$2:S34),"")</f>
        <v/>
      </c>
    </row>
    <row r="35" spans="1:20" x14ac:dyDescent="0.3">
      <c r="A35" s="22" t="s">
        <v>173</v>
      </c>
      <c r="B35" s="27">
        <v>45709</v>
      </c>
      <c r="C35" s="22" t="s">
        <v>40</v>
      </c>
      <c r="D35" s="22">
        <v>5</v>
      </c>
      <c r="E35" s="23">
        <v>7448</v>
      </c>
      <c r="F35" s="23">
        <v>37240</v>
      </c>
      <c r="G35" s="22" t="s">
        <v>55</v>
      </c>
      <c r="H35" s="28">
        <v>5942.73</v>
      </c>
      <c r="I35" s="22" t="s">
        <v>148</v>
      </c>
      <c r="J35" s="22" t="s">
        <v>68</v>
      </c>
      <c r="K35" s="22" t="s">
        <v>149</v>
      </c>
      <c r="L35" s="27">
        <f t="shared" si="0"/>
        <v>45716</v>
      </c>
      <c r="M35" s="29">
        <f t="shared" ca="1" si="1"/>
        <v>20</v>
      </c>
      <c r="N35" s="23">
        <f t="shared" ca="1" si="2"/>
        <v>616</v>
      </c>
      <c r="O35" s="24">
        <f t="shared" si="3"/>
        <v>0.15957921589688506</v>
      </c>
      <c r="P35" s="22" t="str">
        <f t="shared" si="4"/>
        <v>Repeat</v>
      </c>
      <c r="Q35" s="22" t="str">
        <f t="shared" si="5"/>
        <v>SMA-0225-37240</v>
      </c>
      <c r="R35" s="22" t="str">
        <f t="shared" si="6"/>
        <v>KP</v>
      </c>
      <c r="S35" s="29">
        <f>IF(AND(OR(FILTER_Demo!$B$3="All",G35=FILTER_Demo!$B$3),OR(FILTER_Demo!$B$4="All",C35=FILTER_Demo!$B$4),F35&gt;=FILTER_Demo!$B$5),1,0)</f>
        <v>0</v>
      </c>
      <c r="T35" s="29" t="str">
        <f>IF(S35=1,SUM($S$2:S35),"")</f>
        <v/>
      </c>
    </row>
    <row r="36" spans="1:20" x14ac:dyDescent="0.3">
      <c r="A36" s="22" t="s">
        <v>174</v>
      </c>
      <c r="B36" s="27">
        <v>45710</v>
      </c>
      <c r="C36" s="22" t="s">
        <v>36</v>
      </c>
      <c r="D36" s="22">
        <v>1</v>
      </c>
      <c r="E36" s="23">
        <v>21010</v>
      </c>
      <c r="F36" s="23">
        <v>21010</v>
      </c>
      <c r="G36" s="22" t="s">
        <v>55</v>
      </c>
      <c r="H36" s="28">
        <v>1939.67</v>
      </c>
      <c r="I36" s="22" t="s">
        <v>175</v>
      </c>
      <c r="J36" s="22" t="s">
        <v>68</v>
      </c>
      <c r="K36" s="22" t="s">
        <v>176</v>
      </c>
      <c r="L36" s="27">
        <f t="shared" si="0"/>
        <v>45716</v>
      </c>
      <c r="M36" s="29">
        <f t="shared" ca="1" si="1"/>
        <v>20</v>
      </c>
      <c r="N36" s="23">
        <f t="shared" ca="1" si="2"/>
        <v>615</v>
      </c>
      <c r="O36" s="24">
        <f t="shared" si="3"/>
        <v>9.2321275583055695E-2</v>
      </c>
      <c r="P36" s="22" t="str">
        <f t="shared" si="4"/>
        <v>Repeat</v>
      </c>
      <c r="Q36" s="22" t="str">
        <f t="shared" si="5"/>
        <v>SMA-0225-21010</v>
      </c>
      <c r="R36" s="22" t="str">
        <f t="shared" si="6"/>
        <v>PB</v>
      </c>
      <c r="S36" s="29">
        <f>IF(AND(OR(FILTER_Demo!$B$3="All",G36=FILTER_Demo!$B$3),OR(FILTER_Demo!$B$4="All",C36=FILTER_Demo!$B$4),F36&gt;=FILTER_Demo!$B$5),1,0)</f>
        <v>0</v>
      </c>
      <c r="T36" s="29" t="str">
        <f>IF(S36=1,SUM($S$2:S36),"")</f>
        <v/>
      </c>
    </row>
    <row r="37" spans="1:20" x14ac:dyDescent="0.3">
      <c r="A37" s="22" t="s">
        <v>177</v>
      </c>
      <c r="B37" s="27">
        <v>45710</v>
      </c>
      <c r="C37" s="22" t="s">
        <v>44</v>
      </c>
      <c r="D37" s="22">
        <v>5</v>
      </c>
      <c r="E37" s="23">
        <v>2621</v>
      </c>
      <c r="F37" s="23">
        <v>13105</v>
      </c>
      <c r="G37" s="22" t="s">
        <v>49</v>
      </c>
      <c r="H37" s="28">
        <v>2612.83</v>
      </c>
      <c r="I37" s="22" t="s">
        <v>89</v>
      </c>
      <c r="J37" s="22" t="s">
        <v>66</v>
      </c>
      <c r="K37" s="22" t="s">
        <v>90</v>
      </c>
      <c r="L37" s="27">
        <f t="shared" si="0"/>
        <v>45716</v>
      </c>
      <c r="M37" s="29">
        <f t="shared" ca="1" si="1"/>
        <v>20</v>
      </c>
      <c r="N37" s="23">
        <f t="shared" ca="1" si="2"/>
        <v>615</v>
      </c>
      <c r="O37" s="24">
        <f t="shared" si="3"/>
        <v>0.19937657382678367</v>
      </c>
      <c r="P37" s="22" t="str">
        <f t="shared" si="4"/>
        <v>Repeat</v>
      </c>
      <c r="Q37" s="22" t="str">
        <f t="shared" si="5"/>
        <v>WEB-0225-13105</v>
      </c>
      <c r="R37" s="22" t="str">
        <f t="shared" si="6"/>
        <v>PS</v>
      </c>
      <c r="S37" s="29">
        <f>IF(AND(OR(FILTER_Demo!$B$3="All",G37=FILTER_Demo!$B$3),OR(FILTER_Demo!$B$4="All",C37=FILTER_Demo!$B$4),F37&gt;=FILTER_Demo!$B$5),1,0)</f>
        <v>0</v>
      </c>
      <c r="T37" s="29" t="str">
        <f>IF(S37=1,SUM($S$2:S37),"")</f>
        <v/>
      </c>
    </row>
    <row r="38" spans="1:20" x14ac:dyDescent="0.3">
      <c r="A38" s="22" t="s">
        <v>178</v>
      </c>
      <c r="B38" s="27">
        <v>45711</v>
      </c>
      <c r="C38" s="22" t="s">
        <v>36</v>
      </c>
      <c r="D38" s="22">
        <v>1</v>
      </c>
      <c r="E38" s="23">
        <v>21597</v>
      </c>
      <c r="F38" s="23">
        <v>21597</v>
      </c>
      <c r="G38" s="22" t="s">
        <v>51</v>
      </c>
      <c r="H38" s="28">
        <v>2205.1799999999998</v>
      </c>
      <c r="I38" s="22" t="s">
        <v>104</v>
      </c>
      <c r="J38" s="22" t="s">
        <v>67</v>
      </c>
      <c r="K38" s="22" t="s">
        <v>105</v>
      </c>
      <c r="L38" s="27">
        <f t="shared" si="0"/>
        <v>45716</v>
      </c>
      <c r="M38" s="29">
        <f t="shared" ca="1" si="1"/>
        <v>20</v>
      </c>
      <c r="N38" s="23">
        <f t="shared" ca="1" si="2"/>
        <v>614</v>
      </c>
      <c r="O38" s="24">
        <f t="shared" si="3"/>
        <v>0.10210584803444922</v>
      </c>
      <c r="P38" s="22" t="str">
        <f t="shared" si="4"/>
        <v>Repeat</v>
      </c>
      <c r="Q38" s="22" t="str">
        <f t="shared" si="5"/>
        <v>SMA-0225-21597</v>
      </c>
      <c r="R38" s="22" t="str">
        <f t="shared" si="6"/>
        <v>AT</v>
      </c>
      <c r="S38" s="29">
        <f>IF(AND(OR(FILTER_Demo!$B$3="All",G38=FILTER_Demo!$B$3),OR(FILTER_Demo!$B$4="All",C38=FILTER_Demo!$B$4),F38&gt;=FILTER_Demo!$B$5),1,0)</f>
        <v>0</v>
      </c>
      <c r="T38" s="29" t="str">
        <f>IF(S38=1,SUM($S$2:S38),"")</f>
        <v/>
      </c>
    </row>
    <row r="39" spans="1:20" x14ac:dyDescent="0.3">
      <c r="A39" s="22" t="s">
        <v>179</v>
      </c>
      <c r="B39" s="27">
        <v>45714</v>
      </c>
      <c r="C39" s="22" t="s">
        <v>43</v>
      </c>
      <c r="D39" s="22">
        <v>5</v>
      </c>
      <c r="E39" s="23">
        <v>3528</v>
      </c>
      <c r="F39" s="23">
        <v>17640</v>
      </c>
      <c r="G39" s="22" t="s">
        <v>49</v>
      </c>
      <c r="H39" s="28">
        <v>4936.58</v>
      </c>
      <c r="I39" s="22" t="s">
        <v>151</v>
      </c>
      <c r="J39" s="22" t="s">
        <v>64</v>
      </c>
      <c r="K39" s="22" t="s">
        <v>152</v>
      </c>
      <c r="L39" s="27">
        <f t="shared" si="0"/>
        <v>45716</v>
      </c>
      <c r="M39" s="29">
        <f t="shared" ca="1" si="1"/>
        <v>20</v>
      </c>
      <c r="N39" s="23">
        <f t="shared" ca="1" si="2"/>
        <v>611</v>
      </c>
      <c r="O39" s="24">
        <f t="shared" si="3"/>
        <v>0.27985147392290249</v>
      </c>
      <c r="P39" s="22" t="str">
        <f t="shared" si="4"/>
        <v>Repeat</v>
      </c>
      <c r="Q39" s="22" t="str">
        <f t="shared" si="5"/>
        <v>HEA-0225-17640</v>
      </c>
      <c r="R39" s="22" t="str">
        <f t="shared" si="6"/>
        <v>AM</v>
      </c>
      <c r="S39" s="29">
        <f>IF(AND(OR(FILTER_Demo!$B$3="All",G39=FILTER_Demo!$B$3),OR(FILTER_Demo!$B$4="All",C39=FILTER_Demo!$B$4),F39&gt;=FILTER_Demo!$B$5),1,0)</f>
        <v>0</v>
      </c>
      <c r="T39" s="29" t="str">
        <f>IF(S39=1,SUM($S$2:S39),"")</f>
        <v/>
      </c>
    </row>
    <row r="40" spans="1:20" x14ac:dyDescent="0.3">
      <c r="A40" s="22" t="s">
        <v>180</v>
      </c>
      <c r="B40" s="27">
        <v>45714</v>
      </c>
      <c r="C40" s="22" t="s">
        <v>39</v>
      </c>
      <c r="D40" s="22">
        <v>1</v>
      </c>
      <c r="E40" s="23">
        <v>16260</v>
      </c>
      <c r="F40" s="23">
        <v>16260</v>
      </c>
      <c r="G40" s="22" t="s">
        <v>53</v>
      </c>
      <c r="H40" s="28">
        <v>1839.4</v>
      </c>
      <c r="I40" s="22" t="s">
        <v>181</v>
      </c>
      <c r="J40" s="22" t="s">
        <v>66</v>
      </c>
      <c r="K40" s="22" t="s">
        <v>182</v>
      </c>
      <c r="L40" s="27">
        <f t="shared" si="0"/>
        <v>45716</v>
      </c>
      <c r="M40" s="29">
        <f t="shared" ca="1" si="1"/>
        <v>20</v>
      </c>
      <c r="N40" s="23">
        <f t="shared" ca="1" si="2"/>
        <v>611</v>
      </c>
      <c r="O40" s="24">
        <f t="shared" si="3"/>
        <v>0.11312423124231243</v>
      </c>
      <c r="P40" s="22" t="str">
        <f t="shared" si="4"/>
        <v>Repeat</v>
      </c>
      <c r="Q40" s="22" t="str">
        <f t="shared" si="5"/>
        <v>TAB-0225-16260</v>
      </c>
      <c r="R40" s="22" t="str">
        <f t="shared" si="6"/>
        <v>ND</v>
      </c>
      <c r="S40" s="29">
        <f>IF(AND(OR(FILTER_Demo!$B$3="All",G40=FILTER_Demo!$B$3),OR(FILTER_Demo!$B$4="All",C40=FILTER_Demo!$B$4),F40&gt;=FILTER_Demo!$B$5),1,0)</f>
        <v>1</v>
      </c>
      <c r="T40" s="29">
        <f>IF(S40=1,SUM($S$2:S40),"")</f>
        <v>4</v>
      </c>
    </row>
    <row r="41" spans="1:20" x14ac:dyDescent="0.3">
      <c r="A41" s="22" t="s">
        <v>183</v>
      </c>
      <c r="B41" s="27">
        <v>45716</v>
      </c>
      <c r="C41" s="22" t="s">
        <v>39</v>
      </c>
      <c r="D41" s="22">
        <v>5</v>
      </c>
      <c r="E41" s="23">
        <v>19299</v>
      </c>
      <c r="F41" s="23">
        <v>96495</v>
      </c>
      <c r="G41" s="22" t="s">
        <v>55</v>
      </c>
      <c r="H41" s="28">
        <v>7830.39</v>
      </c>
      <c r="I41" s="22" t="s">
        <v>184</v>
      </c>
      <c r="J41" s="22" t="s">
        <v>66</v>
      </c>
      <c r="K41" s="22" t="s">
        <v>185</v>
      </c>
      <c r="L41" s="27">
        <f t="shared" si="0"/>
        <v>45716</v>
      </c>
      <c r="M41" s="29">
        <f t="shared" ca="1" si="1"/>
        <v>20</v>
      </c>
      <c r="N41" s="23">
        <f t="shared" ca="1" si="2"/>
        <v>609</v>
      </c>
      <c r="O41" s="24">
        <f t="shared" si="3"/>
        <v>8.1148142390797456E-2</v>
      </c>
      <c r="P41" s="22" t="str">
        <f t="shared" si="4"/>
        <v>Repeat</v>
      </c>
      <c r="Q41" s="22" t="str">
        <f t="shared" si="5"/>
        <v>TAB-0225-96495</v>
      </c>
      <c r="R41" s="22" t="str">
        <f t="shared" si="6"/>
        <v>MS</v>
      </c>
      <c r="S41" s="29">
        <f>IF(AND(OR(FILTER_Demo!$B$3="All",G41=FILTER_Demo!$B$3),OR(FILTER_Demo!$B$4="All",C41=FILTER_Demo!$B$4),F41&gt;=FILTER_Demo!$B$5),1,0)</f>
        <v>1</v>
      </c>
      <c r="T41" s="29">
        <f>IF(S41=1,SUM($S$2:S41),"")</f>
        <v>5</v>
      </c>
    </row>
    <row r="42" spans="1:20" x14ac:dyDescent="0.3">
      <c r="A42" s="22" t="s">
        <v>186</v>
      </c>
      <c r="B42" s="27">
        <v>45716</v>
      </c>
      <c r="C42" s="22" t="s">
        <v>45</v>
      </c>
      <c r="D42" s="22">
        <v>1</v>
      </c>
      <c r="E42" s="23">
        <v>1854</v>
      </c>
      <c r="F42" s="23">
        <v>1854</v>
      </c>
      <c r="G42" s="22" t="s">
        <v>49</v>
      </c>
      <c r="H42" s="28">
        <v>472.7</v>
      </c>
      <c r="I42" s="22" t="s">
        <v>187</v>
      </c>
      <c r="J42" s="22" t="s">
        <v>67</v>
      </c>
      <c r="K42" s="22" t="s">
        <v>188</v>
      </c>
      <c r="L42" s="27">
        <f t="shared" si="0"/>
        <v>45716</v>
      </c>
      <c r="M42" s="29">
        <f t="shared" ca="1" si="1"/>
        <v>20</v>
      </c>
      <c r="N42" s="23">
        <f t="shared" ca="1" si="2"/>
        <v>609</v>
      </c>
      <c r="O42" s="24">
        <f t="shared" si="3"/>
        <v>0.25496224379719523</v>
      </c>
      <c r="P42" s="22" t="str">
        <f t="shared" si="4"/>
        <v>Repeat</v>
      </c>
      <c r="Q42" s="22" t="str">
        <f t="shared" si="5"/>
        <v>KEY-0225-01854</v>
      </c>
      <c r="R42" s="22" t="str">
        <f t="shared" si="6"/>
        <v>RC</v>
      </c>
      <c r="S42" s="29">
        <f>IF(AND(OR(FILTER_Demo!$B$3="All",G42=FILTER_Demo!$B$3),OR(FILTER_Demo!$B$4="All",C42=FILTER_Demo!$B$4),F42&gt;=FILTER_Demo!$B$5),1,0)</f>
        <v>0</v>
      </c>
      <c r="T42" s="29" t="str">
        <f>IF(S42=1,SUM($S$2:S42),"")</f>
        <v/>
      </c>
    </row>
    <row r="43" spans="1:20" x14ac:dyDescent="0.3">
      <c r="A43" s="22" t="s">
        <v>189</v>
      </c>
      <c r="B43" s="27">
        <v>45718</v>
      </c>
      <c r="C43" s="22" t="s">
        <v>40</v>
      </c>
      <c r="D43" s="22">
        <v>5</v>
      </c>
      <c r="E43" s="23">
        <v>8661</v>
      </c>
      <c r="F43" s="23">
        <v>43305</v>
      </c>
      <c r="G43" s="22" t="s">
        <v>51</v>
      </c>
      <c r="H43" s="28">
        <v>7627.95</v>
      </c>
      <c r="I43" s="22" t="s">
        <v>190</v>
      </c>
      <c r="J43" s="22" t="s">
        <v>66</v>
      </c>
      <c r="K43" s="22" t="s">
        <v>191</v>
      </c>
      <c r="L43" s="27">
        <f t="shared" si="0"/>
        <v>45747</v>
      </c>
      <c r="M43" s="29">
        <f t="shared" ca="1" si="1"/>
        <v>19</v>
      </c>
      <c r="N43" s="23">
        <f t="shared" ca="1" si="2"/>
        <v>607</v>
      </c>
      <c r="O43" s="24">
        <f t="shared" si="3"/>
        <v>0.17614478697609975</v>
      </c>
      <c r="P43" s="22" t="str">
        <f t="shared" si="4"/>
        <v>Repeat</v>
      </c>
      <c r="Q43" s="22" t="str">
        <f t="shared" si="5"/>
        <v>SMA-0325-43305</v>
      </c>
      <c r="R43" s="22" t="str">
        <f t="shared" si="6"/>
        <v>PM</v>
      </c>
      <c r="S43" s="29">
        <f>IF(AND(OR(FILTER_Demo!$B$3="All",G43=FILTER_Demo!$B$3),OR(FILTER_Demo!$B$4="All",C43=FILTER_Demo!$B$4),F43&gt;=FILTER_Demo!$B$5),1,0)</f>
        <v>0</v>
      </c>
      <c r="T43" s="29" t="str">
        <f>IF(S43=1,SUM($S$2:S43),"")</f>
        <v/>
      </c>
    </row>
    <row r="44" spans="1:20" x14ac:dyDescent="0.3">
      <c r="A44" s="22" t="s">
        <v>192</v>
      </c>
      <c r="B44" s="27">
        <v>45719</v>
      </c>
      <c r="C44" s="22" t="s">
        <v>36</v>
      </c>
      <c r="D44" s="22">
        <v>2</v>
      </c>
      <c r="E44" s="23">
        <v>22771</v>
      </c>
      <c r="F44" s="23">
        <v>45542</v>
      </c>
      <c r="G44" s="22" t="s">
        <v>55</v>
      </c>
      <c r="H44" s="28">
        <v>4259.1099999999997</v>
      </c>
      <c r="I44" s="22" t="s">
        <v>126</v>
      </c>
      <c r="J44" s="22" t="s">
        <v>68</v>
      </c>
      <c r="K44" s="22" t="s">
        <v>127</v>
      </c>
      <c r="L44" s="27">
        <f t="shared" si="0"/>
        <v>45747</v>
      </c>
      <c r="M44" s="29">
        <f t="shared" ca="1" si="1"/>
        <v>19</v>
      </c>
      <c r="N44" s="23">
        <f t="shared" ca="1" si="2"/>
        <v>606</v>
      </c>
      <c r="O44" s="24">
        <f t="shared" si="3"/>
        <v>9.3520486583812734E-2</v>
      </c>
      <c r="P44" s="22" t="str">
        <f t="shared" si="4"/>
        <v>Repeat</v>
      </c>
      <c r="Q44" s="22" t="str">
        <f t="shared" si="5"/>
        <v>SMA-0325-45542</v>
      </c>
      <c r="R44" s="22" t="str">
        <f t="shared" si="6"/>
        <v>RB</v>
      </c>
      <c r="S44" s="29">
        <f>IF(AND(OR(FILTER_Demo!$B$3="All",G44=FILTER_Demo!$B$3),OR(FILTER_Demo!$B$4="All",C44=FILTER_Demo!$B$4),F44&gt;=FILTER_Demo!$B$5),1,0)</f>
        <v>0</v>
      </c>
      <c r="T44" s="29" t="str">
        <f>IF(S44=1,SUM($S$2:S44),"")</f>
        <v/>
      </c>
    </row>
    <row r="45" spans="1:20" x14ac:dyDescent="0.3">
      <c r="A45" s="22" t="s">
        <v>193</v>
      </c>
      <c r="B45" s="27">
        <v>45719</v>
      </c>
      <c r="C45" s="22" t="s">
        <v>39</v>
      </c>
      <c r="D45" s="22">
        <v>1</v>
      </c>
      <c r="E45" s="23">
        <v>16634</v>
      </c>
      <c r="F45" s="23">
        <v>16634</v>
      </c>
      <c r="G45" s="22" t="s">
        <v>55</v>
      </c>
      <c r="H45" s="28">
        <v>1651.06</v>
      </c>
      <c r="I45" s="22" t="s">
        <v>187</v>
      </c>
      <c r="J45" s="22" t="s">
        <v>65</v>
      </c>
      <c r="K45" s="22" t="s">
        <v>188</v>
      </c>
      <c r="L45" s="27">
        <f t="shared" si="0"/>
        <v>45747</v>
      </c>
      <c r="M45" s="29">
        <f t="shared" ca="1" si="1"/>
        <v>19</v>
      </c>
      <c r="N45" s="23">
        <f t="shared" ca="1" si="2"/>
        <v>606</v>
      </c>
      <c r="O45" s="24">
        <f t="shared" si="3"/>
        <v>9.9258145966093544E-2</v>
      </c>
      <c r="P45" s="22" t="str">
        <f t="shared" si="4"/>
        <v>Repeat</v>
      </c>
      <c r="Q45" s="22" t="str">
        <f t="shared" si="5"/>
        <v>TAB-0325-16634</v>
      </c>
      <c r="R45" s="22" t="str">
        <f t="shared" si="6"/>
        <v>RC</v>
      </c>
      <c r="S45" s="29">
        <f>IF(AND(OR(FILTER_Demo!$B$3="All",G45=FILTER_Demo!$B$3),OR(FILTER_Demo!$B$4="All",C45=FILTER_Demo!$B$4),F45&gt;=FILTER_Demo!$B$5),1,0)</f>
        <v>1</v>
      </c>
      <c r="T45" s="29">
        <f>IF(S45=1,SUM($S$2:S45),"")</f>
        <v>6</v>
      </c>
    </row>
    <row r="46" spans="1:20" x14ac:dyDescent="0.3">
      <c r="A46" s="22" t="s">
        <v>194</v>
      </c>
      <c r="B46" s="27">
        <v>45722</v>
      </c>
      <c r="C46" s="22" t="s">
        <v>35</v>
      </c>
      <c r="D46" s="22">
        <v>5</v>
      </c>
      <c r="E46" s="23">
        <v>45480</v>
      </c>
      <c r="F46" s="23">
        <v>227400</v>
      </c>
      <c r="G46" s="22" t="s">
        <v>53</v>
      </c>
      <c r="H46" s="28">
        <v>36325.269999999997</v>
      </c>
      <c r="I46" s="22" t="s">
        <v>195</v>
      </c>
      <c r="J46" s="22" t="s">
        <v>64</v>
      </c>
      <c r="K46" s="22" t="s">
        <v>196</v>
      </c>
      <c r="L46" s="27">
        <f t="shared" si="0"/>
        <v>45747</v>
      </c>
      <c r="M46" s="29">
        <f t="shared" ca="1" si="1"/>
        <v>19</v>
      </c>
      <c r="N46" s="23">
        <f t="shared" ca="1" si="2"/>
        <v>603</v>
      </c>
      <c r="O46" s="24">
        <f t="shared" si="3"/>
        <v>0.15974173262972735</v>
      </c>
      <c r="P46" s="22" t="str">
        <f t="shared" si="4"/>
        <v>Repeat</v>
      </c>
      <c r="Q46" s="22" t="str">
        <f t="shared" si="5"/>
        <v>LAP-0325-227400</v>
      </c>
      <c r="R46" s="22" t="str">
        <f t="shared" si="6"/>
        <v>AK</v>
      </c>
      <c r="S46" s="29">
        <f>IF(AND(OR(FILTER_Demo!$B$3="All",G46=FILTER_Demo!$B$3),OR(FILTER_Demo!$B$4="All",C46=FILTER_Demo!$B$4),F46&gt;=FILTER_Demo!$B$5),1,0)</f>
        <v>0</v>
      </c>
      <c r="T46" s="29" t="str">
        <f>IF(S46=1,SUM($S$2:S46),"")</f>
        <v/>
      </c>
    </row>
    <row r="47" spans="1:20" x14ac:dyDescent="0.3">
      <c r="A47" s="22" t="s">
        <v>197</v>
      </c>
      <c r="B47" s="27">
        <v>45722</v>
      </c>
      <c r="C47" s="22" t="s">
        <v>36</v>
      </c>
      <c r="D47" s="22">
        <v>4</v>
      </c>
      <c r="E47" s="23">
        <v>21217</v>
      </c>
      <c r="F47" s="23">
        <v>84868</v>
      </c>
      <c r="G47" s="22" t="s">
        <v>52</v>
      </c>
      <c r="H47" s="28">
        <v>7199.64</v>
      </c>
      <c r="I47" s="22" t="s">
        <v>198</v>
      </c>
      <c r="J47" s="22" t="s">
        <v>68</v>
      </c>
      <c r="K47" s="22" t="s">
        <v>199</v>
      </c>
      <c r="L47" s="27">
        <f t="shared" si="0"/>
        <v>45747</v>
      </c>
      <c r="M47" s="29">
        <f t="shared" ca="1" si="1"/>
        <v>19</v>
      </c>
      <c r="N47" s="23">
        <f t="shared" ca="1" si="2"/>
        <v>603</v>
      </c>
      <c r="O47" s="24">
        <f t="shared" si="3"/>
        <v>8.4833388320686251E-2</v>
      </c>
      <c r="P47" s="22" t="str">
        <f t="shared" si="4"/>
        <v>Repeat</v>
      </c>
      <c r="Q47" s="22" t="str">
        <f t="shared" si="5"/>
        <v>SMA-0325-84868</v>
      </c>
      <c r="R47" s="22" t="str">
        <f t="shared" si="6"/>
        <v>ST</v>
      </c>
      <c r="S47" s="29">
        <f>IF(AND(OR(FILTER_Demo!$B$3="All",G47=FILTER_Demo!$B$3),OR(FILTER_Demo!$B$4="All",C47=FILTER_Demo!$B$4),F47&gt;=FILTER_Demo!$B$5),1,0)</f>
        <v>0</v>
      </c>
      <c r="T47" s="29" t="str">
        <f>IF(S47=1,SUM($S$2:S47),"")</f>
        <v/>
      </c>
    </row>
    <row r="48" spans="1:20" x14ac:dyDescent="0.3">
      <c r="A48" s="22" t="s">
        <v>200</v>
      </c>
      <c r="B48" s="27">
        <v>45723</v>
      </c>
      <c r="C48" s="22" t="s">
        <v>36</v>
      </c>
      <c r="D48" s="22">
        <v>1</v>
      </c>
      <c r="E48" s="23">
        <v>21457</v>
      </c>
      <c r="F48" s="23">
        <v>21457</v>
      </c>
      <c r="G48" s="22" t="s">
        <v>55</v>
      </c>
      <c r="H48" s="28">
        <v>3200.66</v>
      </c>
      <c r="I48" s="22" t="s">
        <v>175</v>
      </c>
      <c r="J48" s="22" t="s">
        <v>67</v>
      </c>
      <c r="K48" s="22" t="s">
        <v>176</v>
      </c>
      <c r="L48" s="27">
        <f t="shared" si="0"/>
        <v>45747</v>
      </c>
      <c r="M48" s="29">
        <f t="shared" ca="1" si="1"/>
        <v>19</v>
      </c>
      <c r="N48" s="23">
        <f t="shared" ca="1" si="2"/>
        <v>602</v>
      </c>
      <c r="O48" s="24">
        <f t="shared" si="3"/>
        <v>0.14916623945565549</v>
      </c>
      <c r="P48" s="22" t="str">
        <f t="shared" si="4"/>
        <v>Repeat</v>
      </c>
      <c r="Q48" s="22" t="str">
        <f t="shared" si="5"/>
        <v>SMA-0325-21457</v>
      </c>
      <c r="R48" s="22" t="str">
        <f t="shared" si="6"/>
        <v>PB</v>
      </c>
      <c r="S48" s="29">
        <f>IF(AND(OR(FILTER_Demo!$B$3="All",G48=FILTER_Demo!$B$3),OR(FILTER_Demo!$B$4="All",C48=FILTER_Demo!$B$4),F48&gt;=FILTER_Demo!$B$5),1,0)</f>
        <v>0</v>
      </c>
      <c r="T48" s="29" t="str">
        <f>IF(S48=1,SUM($S$2:S48),"")</f>
        <v/>
      </c>
    </row>
    <row r="49" spans="1:20" x14ac:dyDescent="0.3">
      <c r="A49" s="22" t="s">
        <v>201</v>
      </c>
      <c r="B49" s="27">
        <v>45724</v>
      </c>
      <c r="C49" s="22" t="s">
        <v>36</v>
      </c>
      <c r="D49" s="22">
        <v>1</v>
      </c>
      <c r="E49" s="23">
        <v>20225</v>
      </c>
      <c r="F49" s="23">
        <v>20225</v>
      </c>
      <c r="G49" s="22" t="s">
        <v>55</v>
      </c>
      <c r="H49" s="28">
        <v>2909.96</v>
      </c>
      <c r="I49" s="22" t="s">
        <v>144</v>
      </c>
      <c r="J49" s="22" t="s">
        <v>68</v>
      </c>
      <c r="K49" s="22" t="s">
        <v>145</v>
      </c>
      <c r="L49" s="27">
        <f t="shared" si="0"/>
        <v>45747</v>
      </c>
      <c r="M49" s="29">
        <f t="shared" ca="1" si="1"/>
        <v>19</v>
      </c>
      <c r="N49" s="23">
        <f t="shared" ca="1" si="2"/>
        <v>601</v>
      </c>
      <c r="O49" s="24">
        <f t="shared" si="3"/>
        <v>0.14387935723114956</v>
      </c>
      <c r="P49" s="22" t="str">
        <f t="shared" si="4"/>
        <v>Repeat</v>
      </c>
      <c r="Q49" s="22" t="str">
        <f t="shared" si="5"/>
        <v>SMA-0325-20225</v>
      </c>
      <c r="R49" s="22" t="str">
        <f t="shared" si="6"/>
        <v>AS</v>
      </c>
      <c r="S49" s="29">
        <f>IF(AND(OR(FILTER_Demo!$B$3="All",G49=FILTER_Demo!$B$3),OR(FILTER_Demo!$B$4="All",C49=FILTER_Demo!$B$4),F49&gt;=FILTER_Demo!$B$5),1,0)</f>
        <v>0</v>
      </c>
      <c r="T49" s="29" t="str">
        <f>IF(S49=1,SUM($S$2:S49),"")</f>
        <v/>
      </c>
    </row>
    <row r="50" spans="1:20" x14ac:dyDescent="0.3">
      <c r="A50" s="22" t="s">
        <v>202</v>
      </c>
      <c r="B50" s="27">
        <v>45724</v>
      </c>
      <c r="C50" s="22" t="s">
        <v>45</v>
      </c>
      <c r="D50" s="22">
        <v>1</v>
      </c>
      <c r="E50" s="23">
        <v>1799</v>
      </c>
      <c r="F50" s="23">
        <v>1799</v>
      </c>
      <c r="G50" s="22" t="s">
        <v>53</v>
      </c>
      <c r="H50" s="28">
        <v>491.24</v>
      </c>
      <c r="I50" s="22" t="s">
        <v>119</v>
      </c>
      <c r="J50" s="22" t="s">
        <v>65</v>
      </c>
      <c r="K50" s="22" t="s">
        <v>120</v>
      </c>
      <c r="L50" s="27">
        <f t="shared" si="0"/>
        <v>45747</v>
      </c>
      <c r="M50" s="29">
        <f t="shared" ca="1" si="1"/>
        <v>19</v>
      </c>
      <c r="N50" s="23">
        <f t="shared" ca="1" si="2"/>
        <v>601</v>
      </c>
      <c r="O50" s="24">
        <f t="shared" si="3"/>
        <v>0.27306281267370763</v>
      </c>
      <c r="P50" s="22" t="str">
        <f t="shared" si="4"/>
        <v>Repeat</v>
      </c>
      <c r="Q50" s="22" t="str">
        <f t="shared" si="5"/>
        <v>KEY-0325-01799</v>
      </c>
      <c r="R50" s="22" t="str">
        <f t="shared" si="6"/>
        <v>AR</v>
      </c>
      <c r="S50" s="29">
        <f>IF(AND(OR(FILTER_Demo!$B$3="All",G50=FILTER_Demo!$B$3),OR(FILTER_Demo!$B$4="All",C50=FILTER_Demo!$B$4),F50&gt;=FILTER_Demo!$B$5),1,0)</f>
        <v>0</v>
      </c>
      <c r="T50" s="29" t="str">
        <f>IF(S50=1,SUM($S$2:S50),"")</f>
        <v/>
      </c>
    </row>
    <row r="51" spans="1:20" x14ac:dyDescent="0.3">
      <c r="A51" s="22" t="s">
        <v>203</v>
      </c>
      <c r="B51" s="27">
        <v>45725</v>
      </c>
      <c r="C51" s="22" t="s">
        <v>40</v>
      </c>
      <c r="D51" s="22">
        <v>2</v>
      </c>
      <c r="E51" s="23">
        <v>7703</v>
      </c>
      <c r="F51" s="23">
        <v>15406</v>
      </c>
      <c r="G51" s="22" t="s">
        <v>52</v>
      </c>
      <c r="H51" s="28">
        <v>2411.9899999999998</v>
      </c>
      <c r="I51" s="22" t="s">
        <v>204</v>
      </c>
      <c r="J51" s="22" t="s">
        <v>66</v>
      </c>
      <c r="K51" s="22" t="s">
        <v>205</v>
      </c>
      <c r="L51" s="27">
        <f t="shared" si="0"/>
        <v>45747</v>
      </c>
      <c r="M51" s="29">
        <f t="shared" ca="1" si="1"/>
        <v>19</v>
      </c>
      <c r="N51" s="23">
        <f t="shared" ca="1" si="2"/>
        <v>600</v>
      </c>
      <c r="O51" s="24">
        <f t="shared" si="3"/>
        <v>0.15656172919641698</v>
      </c>
      <c r="P51" s="22" t="str">
        <f t="shared" si="4"/>
        <v>Repeat</v>
      </c>
      <c r="Q51" s="22" t="str">
        <f t="shared" si="5"/>
        <v>SMA-0325-15406</v>
      </c>
      <c r="R51" s="22" t="str">
        <f t="shared" si="6"/>
        <v>AI</v>
      </c>
      <c r="S51" s="29">
        <f>IF(AND(OR(FILTER_Demo!$B$3="All",G51=FILTER_Demo!$B$3),OR(FILTER_Demo!$B$4="All",C51=FILTER_Demo!$B$4),F51&gt;=FILTER_Demo!$B$5),1,0)</f>
        <v>0</v>
      </c>
      <c r="T51" s="29" t="str">
        <f>IF(S51=1,SUM($S$2:S51),"")</f>
        <v/>
      </c>
    </row>
    <row r="52" spans="1:20" x14ac:dyDescent="0.3">
      <c r="A52" s="22" t="s">
        <v>206</v>
      </c>
      <c r="B52" s="27">
        <v>45725</v>
      </c>
      <c r="C52" s="22" t="s">
        <v>39</v>
      </c>
      <c r="D52" s="22">
        <v>3</v>
      </c>
      <c r="E52" s="23">
        <v>16320</v>
      </c>
      <c r="F52" s="23">
        <v>48960</v>
      </c>
      <c r="G52" s="22" t="s">
        <v>49</v>
      </c>
      <c r="H52" s="28">
        <v>5703.16</v>
      </c>
      <c r="I52" s="22" t="s">
        <v>207</v>
      </c>
      <c r="J52" s="22" t="s">
        <v>66</v>
      </c>
      <c r="K52" s="22" t="s">
        <v>208</v>
      </c>
      <c r="L52" s="27">
        <f t="shared" si="0"/>
        <v>45747</v>
      </c>
      <c r="M52" s="29">
        <f t="shared" ca="1" si="1"/>
        <v>19</v>
      </c>
      <c r="N52" s="23">
        <f t="shared" ca="1" si="2"/>
        <v>600</v>
      </c>
      <c r="O52" s="24">
        <f t="shared" si="3"/>
        <v>0.11648611111111111</v>
      </c>
      <c r="P52" s="22" t="str">
        <f t="shared" si="4"/>
        <v>One-time</v>
      </c>
      <c r="Q52" s="22" t="str">
        <f t="shared" si="5"/>
        <v>TAB-0325-48960</v>
      </c>
      <c r="R52" s="22" t="str">
        <f t="shared" si="6"/>
        <v>RK</v>
      </c>
      <c r="S52" s="29">
        <f>IF(AND(OR(FILTER_Demo!$B$3="All",G52=FILTER_Demo!$B$3),OR(FILTER_Demo!$B$4="All",C52=FILTER_Demo!$B$4),F52&gt;=FILTER_Demo!$B$5),1,0)</f>
        <v>1</v>
      </c>
      <c r="T52" s="29">
        <f>IF(S52=1,SUM($S$2:S52),"")</f>
        <v>7</v>
      </c>
    </row>
    <row r="53" spans="1:20" x14ac:dyDescent="0.3">
      <c r="A53" s="22" t="s">
        <v>209</v>
      </c>
      <c r="B53" s="27">
        <v>45727</v>
      </c>
      <c r="C53" s="22" t="s">
        <v>44</v>
      </c>
      <c r="D53" s="22">
        <v>2</v>
      </c>
      <c r="E53" s="23">
        <v>2535</v>
      </c>
      <c r="F53" s="23">
        <v>5070</v>
      </c>
      <c r="G53" s="22" t="s">
        <v>53</v>
      </c>
      <c r="H53" s="28">
        <v>1187.77</v>
      </c>
      <c r="I53" s="22" t="s">
        <v>187</v>
      </c>
      <c r="J53" s="22" t="s">
        <v>64</v>
      </c>
      <c r="K53" s="22" t="s">
        <v>188</v>
      </c>
      <c r="L53" s="27">
        <f t="shared" si="0"/>
        <v>45747</v>
      </c>
      <c r="M53" s="29">
        <f t="shared" ca="1" si="1"/>
        <v>19</v>
      </c>
      <c r="N53" s="23">
        <f t="shared" ca="1" si="2"/>
        <v>598</v>
      </c>
      <c r="O53" s="24">
        <f t="shared" si="3"/>
        <v>0.2342741617357002</v>
      </c>
      <c r="P53" s="22" t="str">
        <f t="shared" si="4"/>
        <v>Repeat</v>
      </c>
      <c r="Q53" s="22" t="str">
        <f t="shared" si="5"/>
        <v>WEB-0325-05070</v>
      </c>
      <c r="R53" s="22" t="str">
        <f t="shared" si="6"/>
        <v>RC</v>
      </c>
      <c r="S53" s="29">
        <f>IF(AND(OR(FILTER_Demo!$B$3="All",G53=FILTER_Demo!$B$3),OR(FILTER_Demo!$B$4="All",C53=FILTER_Demo!$B$4),F53&gt;=FILTER_Demo!$B$5),1,0)</f>
        <v>0</v>
      </c>
      <c r="T53" s="29" t="str">
        <f>IF(S53=1,SUM($S$2:S53),"")</f>
        <v/>
      </c>
    </row>
    <row r="54" spans="1:20" x14ac:dyDescent="0.3">
      <c r="A54" s="22" t="s">
        <v>210</v>
      </c>
      <c r="B54" s="27">
        <v>45727</v>
      </c>
      <c r="C54" s="22" t="s">
        <v>43</v>
      </c>
      <c r="D54" s="22">
        <v>1</v>
      </c>
      <c r="E54" s="23">
        <v>3795</v>
      </c>
      <c r="F54" s="23">
        <v>3795</v>
      </c>
      <c r="G54" s="22" t="s">
        <v>49</v>
      </c>
      <c r="H54" s="28">
        <v>951.88</v>
      </c>
      <c r="I54" s="22" t="s">
        <v>211</v>
      </c>
      <c r="J54" s="22" t="s">
        <v>67</v>
      </c>
      <c r="K54" s="22" t="s">
        <v>212</v>
      </c>
      <c r="L54" s="27">
        <f t="shared" si="0"/>
        <v>45747</v>
      </c>
      <c r="M54" s="29">
        <f t="shared" ca="1" si="1"/>
        <v>19</v>
      </c>
      <c r="N54" s="23">
        <f t="shared" ca="1" si="2"/>
        <v>598</v>
      </c>
      <c r="O54" s="24">
        <f t="shared" si="3"/>
        <v>0.2508247694334651</v>
      </c>
      <c r="P54" s="22" t="str">
        <f t="shared" si="4"/>
        <v>Repeat</v>
      </c>
      <c r="Q54" s="22" t="str">
        <f t="shared" si="5"/>
        <v>HEA-0325-03795</v>
      </c>
      <c r="R54" s="22" t="str">
        <f t="shared" si="6"/>
        <v>KI</v>
      </c>
      <c r="S54" s="29">
        <f>IF(AND(OR(FILTER_Demo!$B$3="All",G54=FILTER_Demo!$B$3),OR(FILTER_Demo!$B$4="All",C54=FILTER_Demo!$B$4),F54&gt;=FILTER_Demo!$B$5),1,0)</f>
        <v>0</v>
      </c>
      <c r="T54" s="29" t="str">
        <f>IF(S54=1,SUM($S$2:S54),"")</f>
        <v/>
      </c>
    </row>
    <row r="55" spans="1:20" x14ac:dyDescent="0.3">
      <c r="A55" s="22" t="s">
        <v>213</v>
      </c>
      <c r="B55" s="27">
        <v>45727</v>
      </c>
      <c r="C55" s="22" t="s">
        <v>39</v>
      </c>
      <c r="D55" s="22">
        <v>2</v>
      </c>
      <c r="E55" s="23">
        <v>19795</v>
      </c>
      <c r="F55" s="23">
        <v>39590</v>
      </c>
      <c r="G55" s="22" t="s">
        <v>49</v>
      </c>
      <c r="H55" s="28">
        <v>3959.71</v>
      </c>
      <c r="I55" s="22" t="s">
        <v>214</v>
      </c>
      <c r="J55" s="22" t="s">
        <v>65</v>
      </c>
      <c r="K55" s="22" t="s">
        <v>215</v>
      </c>
      <c r="L55" s="27">
        <f t="shared" si="0"/>
        <v>45747</v>
      </c>
      <c r="M55" s="29">
        <f t="shared" ca="1" si="1"/>
        <v>19</v>
      </c>
      <c r="N55" s="23">
        <f t="shared" ca="1" si="2"/>
        <v>598</v>
      </c>
      <c r="O55" s="24">
        <f t="shared" si="3"/>
        <v>0.10001793382167214</v>
      </c>
      <c r="P55" s="22" t="str">
        <f t="shared" si="4"/>
        <v>Repeat</v>
      </c>
      <c r="Q55" s="22" t="str">
        <f t="shared" si="5"/>
        <v>TAB-0325-39590</v>
      </c>
      <c r="R55" s="22" t="str">
        <f t="shared" si="6"/>
        <v>AK</v>
      </c>
      <c r="S55" s="29">
        <f>IF(AND(OR(FILTER_Demo!$B$3="All",G55=FILTER_Demo!$B$3),OR(FILTER_Demo!$B$4="All",C55=FILTER_Demo!$B$4),F55&gt;=FILTER_Demo!$B$5),1,0)</f>
        <v>1</v>
      </c>
      <c r="T55" s="29">
        <f>IF(S55=1,SUM($S$2:S55),"")</f>
        <v>8</v>
      </c>
    </row>
    <row r="56" spans="1:20" x14ac:dyDescent="0.3">
      <c r="A56" s="22" t="s">
        <v>216</v>
      </c>
      <c r="B56" s="27">
        <v>45731</v>
      </c>
      <c r="C56" s="22" t="s">
        <v>41</v>
      </c>
      <c r="D56" s="22">
        <v>3</v>
      </c>
      <c r="E56" s="23">
        <v>9841</v>
      </c>
      <c r="F56" s="23">
        <v>29523</v>
      </c>
      <c r="G56" s="22" t="s">
        <v>55</v>
      </c>
      <c r="H56" s="28">
        <v>6060.45</v>
      </c>
      <c r="I56" s="22" t="s">
        <v>158</v>
      </c>
      <c r="J56" s="22" t="s">
        <v>64</v>
      </c>
      <c r="K56" s="22" t="s">
        <v>159</v>
      </c>
      <c r="L56" s="27">
        <f t="shared" si="0"/>
        <v>45747</v>
      </c>
      <c r="M56" s="29">
        <f t="shared" ca="1" si="1"/>
        <v>19</v>
      </c>
      <c r="N56" s="23">
        <f t="shared" ca="1" si="2"/>
        <v>594</v>
      </c>
      <c r="O56" s="24">
        <f t="shared" si="3"/>
        <v>0.20527893506757441</v>
      </c>
      <c r="P56" s="22" t="str">
        <f t="shared" si="4"/>
        <v>Repeat</v>
      </c>
      <c r="Q56" s="22" t="str">
        <f t="shared" si="5"/>
        <v>PRI-0325-29523</v>
      </c>
      <c r="R56" s="22" t="str">
        <f t="shared" si="6"/>
        <v>RI</v>
      </c>
      <c r="S56" s="29">
        <f>IF(AND(OR(FILTER_Demo!$B$3="All",G56=FILTER_Demo!$B$3),OR(FILTER_Demo!$B$4="All",C56=FILTER_Demo!$B$4),F56&gt;=FILTER_Demo!$B$5),1,0)</f>
        <v>0</v>
      </c>
      <c r="T56" s="29" t="str">
        <f>IF(S56=1,SUM($S$2:S56),"")</f>
        <v/>
      </c>
    </row>
    <row r="57" spans="1:20" x14ac:dyDescent="0.3">
      <c r="A57" s="22" t="s">
        <v>217</v>
      </c>
      <c r="B57" s="27">
        <v>45733</v>
      </c>
      <c r="C57" s="22" t="s">
        <v>40</v>
      </c>
      <c r="D57" s="22">
        <v>2</v>
      </c>
      <c r="E57" s="23">
        <v>7814</v>
      </c>
      <c r="F57" s="23">
        <v>15628</v>
      </c>
      <c r="G57" s="22" t="s">
        <v>49</v>
      </c>
      <c r="H57" s="28">
        <v>2656.22</v>
      </c>
      <c r="I57" s="22" t="s">
        <v>195</v>
      </c>
      <c r="J57" s="22" t="s">
        <v>67</v>
      </c>
      <c r="K57" s="22" t="s">
        <v>196</v>
      </c>
      <c r="L57" s="27">
        <f t="shared" si="0"/>
        <v>45747</v>
      </c>
      <c r="M57" s="29">
        <f t="shared" ca="1" si="1"/>
        <v>19</v>
      </c>
      <c r="N57" s="23">
        <f t="shared" ca="1" si="2"/>
        <v>592</v>
      </c>
      <c r="O57" s="24">
        <f t="shared" si="3"/>
        <v>0.1699654466342462</v>
      </c>
      <c r="P57" s="22" t="str">
        <f t="shared" si="4"/>
        <v>Repeat</v>
      </c>
      <c r="Q57" s="22" t="str">
        <f t="shared" si="5"/>
        <v>SMA-0325-15628</v>
      </c>
      <c r="R57" s="22" t="str">
        <f t="shared" si="6"/>
        <v>AK</v>
      </c>
      <c r="S57" s="29">
        <f>IF(AND(OR(FILTER_Demo!$B$3="All",G57=FILTER_Demo!$B$3),OR(FILTER_Demo!$B$4="All",C57=FILTER_Demo!$B$4),F57&gt;=FILTER_Demo!$B$5),1,0)</f>
        <v>0</v>
      </c>
      <c r="T57" s="29" t="str">
        <f>IF(S57=1,SUM($S$2:S57),"")</f>
        <v/>
      </c>
    </row>
    <row r="58" spans="1:20" x14ac:dyDescent="0.3">
      <c r="A58" s="22" t="s">
        <v>218</v>
      </c>
      <c r="B58" s="27">
        <v>45733</v>
      </c>
      <c r="C58" s="22" t="s">
        <v>40</v>
      </c>
      <c r="D58" s="22">
        <v>2</v>
      </c>
      <c r="E58" s="23">
        <v>8501</v>
      </c>
      <c r="F58" s="23">
        <v>17002</v>
      </c>
      <c r="G58" s="22" t="s">
        <v>55</v>
      </c>
      <c r="H58" s="28">
        <v>2606.4</v>
      </c>
      <c r="I58" s="22" t="s">
        <v>219</v>
      </c>
      <c r="J58" s="22" t="s">
        <v>66</v>
      </c>
      <c r="K58" s="22" t="s">
        <v>220</v>
      </c>
      <c r="L58" s="27">
        <f t="shared" si="0"/>
        <v>45747</v>
      </c>
      <c r="M58" s="29">
        <f t="shared" ca="1" si="1"/>
        <v>19</v>
      </c>
      <c r="N58" s="23">
        <f t="shared" ca="1" si="2"/>
        <v>592</v>
      </c>
      <c r="O58" s="24">
        <f t="shared" si="3"/>
        <v>0.15329961181037527</v>
      </c>
      <c r="P58" s="22" t="str">
        <f t="shared" si="4"/>
        <v>One-time</v>
      </c>
      <c r="Q58" s="22" t="str">
        <f t="shared" si="5"/>
        <v>SMA-0325-17002</v>
      </c>
      <c r="R58" s="22" t="str">
        <f t="shared" si="6"/>
        <v>RJ</v>
      </c>
      <c r="S58" s="29">
        <f>IF(AND(OR(FILTER_Demo!$B$3="All",G58=FILTER_Demo!$B$3),OR(FILTER_Demo!$B$4="All",C58=FILTER_Demo!$B$4),F58&gt;=FILTER_Demo!$B$5),1,0)</f>
        <v>0</v>
      </c>
      <c r="T58" s="29" t="str">
        <f>IF(S58=1,SUM($S$2:S58),"")</f>
        <v/>
      </c>
    </row>
    <row r="59" spans="1:20" x14ac:dyDescent="0.3">
      <c r="A59" s="22" t="s">
        <v>221</v>
      </c>
      <c r="B59" s="27">
        <v>45734</v>
      </c>
      <c r="C59" s="22" t="s">
        <v>35</v>
      </c>
      <c r="D59" s="22">
        <v>1</v>
      </c>
      <c r="E59" s="23">
        <v>49005</v>
      </c>
      <c r="F59" s="23">
        <v>49005</v>
      </c>
      <c r="G59" s="22" t="s">
        <v>55</v>
      </c>
      <c r="H59" s="28">
        <v>7796.79</v>
      </c>
      <c r="I59" s="22" t="s">
        <v>222</v>
      </c>
      <c r="J59" s="22" t="s">
        <v>66</v>
      </c>
      <c r="K59" s="22" t="s">
        <v>223</v>
      </c>
      <c r="L59" s="27">
        <f t="shared" si="0"/>
        <v>45747</v>
      </c>
      <c r="M59" s="29">
        <f t="shared" ca="1" si="1"/>
        <v>19</v>
      </c>
      <c r="N59" s="23">
        <f t="shared" ca="1" si="2"/>
        <v>591</v>
      </c>
      <c r="O59" s="24">
        <f t="shared" si="3"/>
        <v>0.15910192837465564</v>
      </c>
      <c r="P59" s="22" t="str">
        <f t="shared" si="4"/>
        <v>Repeat</v>
      </c>
      <c r="Q59" s="22" t="str">
        <f t="shared" si="5"/>
        <v>LAP-0325-49005</v>
      </c>
      <c r="R59" s="22" t="str">
        <f t="shared" si="6"/>
        <v>AJ</v>
      </c>
      <c r="S59" s="29">
        <f>IF(AND(OR(FILTER_Demo!$B$3="All",G59=FILTER_Demo!$B$3),OR(FILTER_Demo!$B$4="All",C59=FILTER_Demo!$B$4),F59&gt;=FILTER_Demo!$B$5),1,0)</f>
        <v>0</v>
      </c>
      <c r="T59" s="29" t="str">
        <f>IF(S59=1,SUM($S$2:S59),"")</f>
        <v/>
      </c>
    </row>
    <row r="60" spans="1:20" x14ac:dyDescent="0.3">
      <c r="A60" s="22" t="s">
        <v>224</v>
      </c>
      <c r="B60" s="27">
        <v>45734</v>
      </c>
      <c r="C60" s="22" t="s">
        <v>44</v>
      </c>
      <c r="D60" s="22">
        <v>1</v>
      </c>
      <c r="E60" s="23">
        <v>2564</v>
      </c>
      <c r="F60" s="23">
        <v>2564</v>
      </c>
      <c r="G60" s="22" t="s">
        <v>55</v>
      </c>
      <c r="H60" s="28">
        <v>501.5</v>
      </c>
      <c r="I60" s="22" t="s">
        <v>225</v>
      </c>
      <c r="J60" s="22" t="s">
        <v>68</v>
      </c>
      <c r="K60" s="22" t="s">
        <v>226</v>
      </c>
      <c r="L60" s="27">
        <f t="shared" si="0"/>
        <v>45747</v>
      </c>
      <c r="M60" s="29">
        <f t="shared" ca="1" si="1"/>
        <v>19</v>
      </c>
      <c r="N60" s="23">
        <f t="shared" ca="1" si="2"/>
        <v>591</v>
      </c>
      <c r="O60" s="24">
        <f t="shared" si="3"/>
        <v>0.1955928237129485</v>
      </c>
      <c r="P60" s="22" t="str">
        <f t="shared" si="4"/>
        <v>Repeat</v>
      </c>
      <c r="Q60" s="22" t="str">
        <f t="shared" si="5"/>
        <v>WEB-0325-02564</v>
      </c>
      <c r="R60" s="22" t="str">
        <f t="shared" si="6"/>
        <v>MM</v>
      </c>
      <c r="S60" s="29">
        <f>IF(AND(OR(FILTER_Demo!$B$3="All",G60=FILTER_Demo!$B$3),OR(FILTER_Demo!$B$4="All",C60=FILTER_Demo!$B$4),F60&gt;=FILTER_Demo!$B$5),1,0)</f>
        <v>0</v>
      </c>
      <c r="T60" s="29" t="str">
        <f>IF(S60=1,SUM($S$2:S60),"")</f>
        <v/>
      </c>
    </row>
    <row r="61" spans="1:20" x14ac:dyDescent="0.3">
      <c r="A61" s="22" t="s">
        <v>227</v>
      </c>
      <c r="B61" s="27">
        <v>45736</v>
      </c>
      <c r="C61" s="22" t="s">
        <v>35</v>
      </c>
      <c r="D61" s="22">
        <v>4</v>
      </c>
      <c r="E61" s="23">
        <v>42294</v>
      </c>
      <c r="F61" s="23">
        <v>169176</v>
      </c>
      <c r="G61" s="22" t="s">
        <v>51</v>
      </c>
      <c r="H61" s="28">
        <v>15570.62</v>
      </c>
      <c r="I61" s="22" t="s">
        <v>151</v>
      </c>
      <c r="J61" s="22" t="s">
        <v>67</v>
      </c>
      <c r="K61" s="22" t="s">
        <v>152</v>
      </c>
      <c r="L61" s="27">
        <f t="shared" si="0"/>
        <v>45747</v>
      </c>
      <c r="M61" s="29">
        <f t="shared" ca="1" si="1"/>
        <v>19</v>
      </c>
      <c r="N61" s="23">
        <f t="shared" ca="1" si="2"/>
        <v>589</v>
      </c>
      <c r="O61" s="24">
        <f t="shared" si="3"/>
        <v>9.2037995933229311E-2</v>
      </c>
      <c r="P61" s="22" t="str">
        <f t="shared" si="4"/>
        <v>Repeat</v>
      </c>
      <c r="Q61" s="22" t="str">
        <f t="shared" si="5"/>
        <v>LAP-0325-169176</v>
      </c>
      <c r="R61" s="22" t="str">
        <f t="shared" si="6"/>
        <v>AM</v>
      </c>
      <c r="S61" s="29">
        <f>IF(AND(OR(FILTER_Demo!$B$3="All",G61=FILTER_Demo!$B$3),OR(FILTER_Demo!$B$4="All",C61=FILTER_Demo!$B$4),F61&gt;=FILTER_Demo!$B$5),1,0)</f>
        <v>0</v>
      </c>
      <c r="T61" s="29" t="str">
        <f>IF(S61=1,SUM($S$2:S61),"")</f>
        <v/>
      </c>
    </row>
    <row r="62" spans="1:20" x14ac:dyDescent="0.3">
      <c r="A62" s="22" t="s">
        <v>228</v>
      </c>
      <c r="B62" s="27">
        <v>45736</v>
      </c>
      <c r="C62" s="22" t="s">
        <v>36</v>
      </c>
      <c r="D62" s="22">
        <v>2</v>
      </c>
      <c r="E62" s="23">
        <v>20542</v>
      </c>
      <c r="F62" s="23">
        <v>41084</v>
      </c>
      <c r="G62" s="22" t="s">
        <v>51</v>
      </c>
      <c r="H62" s="28">
        <v>6744.38</v>
      </c>
      <c r="I62" s="22" t="s">
        <v>198</v>
      </c>
      <c r="J62" s="22" t="s">
        <v>68</v>
      </c>
      <c r="K62" s="22" t="s">
        <v>199</v>
      </c>
      <c r="L62" s="27">
        <f t="shared" si="0"/>
        <v>45747</v>
      </c>
      <c r="M62" s="29">
        <f t="shared" ca="1" si="1"/>
        <v>19</v>
      </c>
      <c r="N62" s="23">
        <f t="shared" ca="1" si="2"/>
        <v>589</v>
      </c>
      <c r="O62" s="24">
        <f t="shared" si="3"/>
        <v>0.16416074384188492</v>
      </c>
      <c r="P62" s="22" t="str">
        <f t="shared" si="4"/>
        <v>Repeat</v>
      </c>
      <c r="Q62" s="22" t="str">
        <f t="shared" si="5"/>
        <v>SMA-0325-41084</v>
      </c>
      <c r="R62" s="22" t="str">
        <f t="shared" si="6"/>
        <v>ST</v>
      </c>
      <c r="S62" s="29">
        <f>IF(AND(OR(FILTER_Demo!$B$3="All",G62=FILTER_Demo!$B$3),OR(FILTER_Demo!$B$4="All",C62=FILTER_Demo!$B$4),F62&gt;=FILTER_Demo!$B$5),1,0)</f>
        <v>0</v>
      </c>
      <c r="T62" s="29" t="str">
        <f>IF(S62=1,SUM($S$2:S62),"")</f>
        <v/>
      </c>
    </row>
    <row r="63" spans="1:20" x14ac:dyDescent="0.3">
      <c r="A63" s="22" t="s">
        <v>229</v>
      </c>
      <c r="B63" s="27">
        <v>45737</v>
      </c>
      <c r="C63" s="22" t="s">
        <v>38</v>
      </c>
      <c r="D63" s="22">
        <v>1</v>
      </c>
      <c r="E63" s="23">
        <v>11146</v>
      </c>
      <c r="F63" s="23">
        <v>11146</v>
      </c>
      <c r="G63" s="22" t="s">
        <v>49</v>
      </c>
      <c r="H63" s="28">
        <v>2085.34</v>
      </c>
      <c r="I63" s="22" t="s">
        <v>230</v>
      </c>
      <c r="J63" s="22" t="s">
        <v>66</v>
      </c>
      <c r="K63" s="22" t="s">
        <v>231</v>
      </c>
      <c r="L63" s="27">
        <f t="shared" si="0"/>
        <v>45747</v>
      </c>
      <c r="M63" s="29">
        <f t="shared" ca="1" si="1"/>
        <v>19</v>
      </c>
      <c r="N63" s="23">
        <f t="shared" ca="1" si="2"/>
        <v>588</v>
      </c>
      <c r="O63" s="24">
        <f t="shared" si="3"/>
        <v>0.18709312757940069</v>
      </c>
      <c r="P63" s="22" t="str">
        <f t="shared" si="4"/>
        <v>Repeat</v>
      </c>
      <c r="Q63" s="22" t="str">
        <f t="shared" si="5"/>
        <v>MON-0325-11146</v>
      </c>
      <c r="R63" s="22" t="str">
        <f t="shared" si="6"/>
        <v>DB</v>
      </c>
      <c r="S63" s="29">
        <f>IF(AND(OR(FILTER_Demo!$B$3="All",G63=FILTER_Demo!$B$3),OR(FILTER_Demo!$B$4="All",C63=FILTER_Demo!$B$4),F63&gt;=FILTER_Demo!$B$5),1,0)</f>
        <v>0</v>
      </c>
      <c r="T63" s="29" t="str">
        <f>IF(S63=1,SUM($S$2:S63),"")</f>
        <v/>
      </c>
    </row>
    <row r="64" spans="1:20" x14ac:dyDescent="0.3">
      <c r="A64" s="22" t="s">
        <v>232</v>
      </c>
      <c r="B64" s="27">
        <v>45737</v>
      </c>
      <c r="C64" s="22" t="s">
        <v>44</v>
      </c>
      <c r="D64" s="22">
        <v>1</v>
      </c>
      <c r="E64" s="23">
        <v>2578</v>
      </c>
      <c r="F64" s="23">
        <v>2578</v>
      </c>
      <c r="G64" s="22" t="s">
        <v>53</v>
      </c>
      <c r="H64" s="28">
        <v>569.07000000000005</v>
      </c>
      <c r="I64" s="22" t="s">
        <v>116</v>
      </c>
      <c r="J64" s="22" t="s">
        <v>64</v>
      </c>
      <c r="K64" s="22" t="s">
        <v>117</v>
      </c>
      <c r="L64" s="27">
        <f t="shared" si="0"/>
        <v>45747</v>
      </c>
      <c r="M64" s="29">
        <f t="shared" ca="1" si="1"/>
        <v>19</v>
      </c>
      <c r="N64" s="23">
        <f t="shared" ca="1" si="2"/>
        <v>588</v>
      </c>
      <c r="O64" s="24">
        <f t="shared" si="3"/>
        <v>0.22074088440651671</v>
      </c>
      <c r="P64" s="22" t="str">
        <f t="shared" si="4"/>
        <v>Repeat</v>
      </c>
      <c r="Q64" s="22" t="str">
        <f t="shared" si="5"/>
        <v>WEB-0325-02578</v>
      </c>
      <c r="R64" s="22" t="str">
        <f t="shared" si="6"/>
        <v>VI</v>
      </c>
      <c r="S64" s="29">
        <f>IF(AND(OR(FILTER_Demo!$B$3="All",G64=FILTER_Demo!$B$3),OR(FILTER_Demo!$B$4="All",C64=FILTER_Demo!$B$4),F64&gt;=FILTER_Demo!$B$5),1,0)</f>
        <v>0</v>
      </c>
      <c r="T64" s="29" t="str">
        <f>IF(S64=1,SUM($S$2:S64),"")</f>
        <v/>
      </c>
    </row>
    <row r="65" spans="1:20" x14ac:dyDescent="0.3">
      <c r="A65" s="22" t="s">
        <v>233</v>
      </c>
      <c r="B65" s="27">
        <v>45742</v>
      </c>
      <c r="C65" s="22" t="s">
        <v>43</v>
      </c>
      <c r="D65" s="22">
        <v>3</v>
      </c>
      <c r="E65" s="23">
        <v>3690</v>
      </c>
      <c r="F65" s="23">
        <v>11070</v>
      </c>
      <c r="G65" s="22" t="s">
        <v>53</v>
      </c>
      <c r="H65" s="28">
        <v>3109.61</v>
      </c>
      <c r="I65" s="22" t="s">
        <v>110</v>
      </c>
      <c r="J65" s="22" t="s">
        <v>67</v>
      </c>
      <c r="K65" s="22" t="s">
        <v>111</v>
      </c>
      <c r="L65" s="27">
        <f t="shared" si="0"/>
        <v>45747</v>
      </c>
      <c r="M65" s="29">
        <f t="shared" ca="1" si="1"/>
        <v>19</v>
      </c>
      <c r="N65" s="23">
        <f t="shared" ca="1" si="2"/>
        <v>583</v>
      </c>
      <c r="O65" s="24">
        <f t="shared" si="3"/>
        <v>0.28090424570912376</v>
      </c>
      <c r="P65" s="22" t="str">
        <f t="shared" si="4"/>
        <v>Repeat</v>
      </c>
      <c r="Q65" s="22" t="str">
        <f t="shared" si="5"/>
        <v>HEA-0325-11070</v>
      </c>
      <c r="R65" s="22" t="str">
        <f t="shared" si="6"/>
        <v>RS</v>
      </c>
      <c r="S65" s="29">
        <f>IF(AND(OR(FILTER_Demo!$B$3="All",G65=FILTER_Demo!$B$3),OR(FILTER_Demo!$B$4="All",C65=FILTER_Demo!$B$4),F65&gt;=FILTER_Demo!$B$5),1,0)</f>
        <v>0</v>
      </c>
      <c r="T65" s="29" t="str">
        <f>IF(S65=1,SUM($S$2:S65),"")</f>
        <v/>
      </c>
    </row>
    <row r="66" spans="1:20" x14ac:dyDescent="0.3">
      <c r="A66" s="22" t="s">
        <v>234</v>
      </c>
      <c r="B66" s="27">
        <v>45744</v>
      </c>
      <c r="C66" s="22" t="s">
        <v>38</v>
      </c>
      <c r="D66" s="22">
        <v>1</v>
      </c>
      <c r="E66" s="23">
        <v>12422</v>
      </c>
      <c r="F66" s="23">
        <v>12422</v>
      </c>
      <c r="G66" s="22" t="s">
        <v>49</v>
      </c>
      <c r="H66" s="28">
        <v>1877.18</v>
      </c>
      <c r="I66" s="22" t="s">
        <v>235</v>
      </c>
      <c r="J66" s="22" t="s">
        <v>68</v>
      </c>
      <c r="K66" s="22" t="s">
        <v>236</v>
      </c>
      <c r="L66" s="27">
        <f t="shared" ref="L66:L129" si="7">EOMONTH(B66,0)</f>
        <v>45747</v>
      </c>
      <c r="M66" s="29">
        <f t="shared" ref="M66:M129" ca="1" si="8">DATEDIF(B66,TODAY(),"m")</f>
        <v>19</v>
      </c>
      <c r="N66" s="23">
        <f t="shared" ref="N66:N129" ca="1" si="9">TODAY()-B66</f>
        <v>581</v>
      </c>
      <c r="O66" s="24">
        <f t="shared" ref="O66:O129" si="10">IF(F66=0,0,H66/F66)</f>
        <v>0.15111737240379972</v>
      </c>
      <c r="P66" s="22" t="str">
        <f t="shared" ref="P66:P129" si="11">IF(COUNTIF($K$2:$K$251,K66)&gt;1,"Repeat","One-time")</f>
        <v>Repeat</v>
      </c>
      <c r="Q66" s="22" t="str">
        <f t="shared" ref="Q66:Q129" si="12">UPPER(LEFT(C66,3))&amp;"-"&amp;TEXT(B66,"MMYY")&amp;"-"&amp;TEXT(F66,"00000")</f>
        <v>MON-0325-12422</v>
      </c>
      <c r="R66" s="22" t="str">
        <f t="shared" ref="R66:R129" si="13">LEFT(K66,1)&amp;MID(K66,FIND(" ",K66)+1,1)</f>
        <v>RD</v>
      </c>
      <c r="S66" s="29">
        <f>IF(AND(OR(FILTER_Demo!$B$3="All",G66=FILTER_Demo!$B$3),OR(FILTER_Demo!$B$4="All",C66=FILTER_Demo!$B$4),F66&gt;=FILTER_Demo!$B$5),1,0)</f>
        <v>0</v>
      </c>
      <c r="T66" s="29" t="str">
        <f>IF(S66=1,SUM($S$2:S66),"")</f>
        <v/>
      </c>
    </row>
    <row r="67" spans="1:20" x14ac:dyDescent="0.3">
      <c r="A67" s="22" t="s">
        <v>237</v>
      </c>
      <c r="B67" s="27">
        <v>45747</v>
      </c>
      <c r="C67" s="22" t="s">
        <v>40</v>
      </c>
      <c r="D67" s="22">
        <v>1</v>
      </c>
      <c r="E67" s="23">
        <v>8705</v>
      </c>
      <c r="F67" s="23">
        <v>8705</v>
      </c>
      <c r="G67" s="22" t="s">
        <v>55</v>
      </c>
      <c r="H67" s="28">
        <v>1721.26</v>
      </c>
      <c r="I67" s="22" t="s">
        <v>238</v>
      </c>
      <c r="J67" s="22" t="s">
        <v>66</v>
      </c>
      <c r="K67" s="22" t="s">
        <v>239</v>
      </c>
      <c r="L67" s="27">
        <f t="shared" si="7"/>
        <v>45747</v>
      </c>
      <c r="M67" s="29">
        <f t="shared" ca="1" si="8"/>
        <v>18</v>
      </c>
      <c r="N67" s="23">
        <f t="shared" ca="1" si="9"/>
        <v>578</v>
      </c>
      <c r="O67" s="24">
        <f t="shared" si="10"/>
        <v>0.1977323377369328</v>
      </c>
      <c r="P67" s="22" t="str">
        <f t="shared" si="11"/>
        <v>Repeat</v>
      </c>
      <c r="Q67" s="22" t="str">
        <f t="shared" si="12"/>
        <v>SMA-0325-08705</v>
      </c>
      <c r="R67" s="22" t="str">
        <f t="shared" si="13"/>
        <v>NB</v>
      </c>
      <c r="S67" s="29">
        <f>IF(AND(OR(FILTER_Demo!$B$3="All",G67=FILTER_Demo!$B$3),OR(FILTER_Demo!$B$4="All",C67=FILTER_Demo!$B$4),F67&gt;=FILTER_Demo!$B$5),1,0)</f>
        <v>0</v>
      </c>
      <c r="T67" s="29" t="str">
        <f>IF(S67=1,SUM($S$2:S67),"")</f>
        <v/>
      </c>
    </row>
    <row r="68" spans="1:20" x14ac:dyDescent="0.3">
      <c r="A68" s="22" t="s">
        <v>240</v>
      </c>
      <c r="B68" s="27">
        <v>45747</v>
      </c>
      <c r="C68" s="22" t="s">
        <v>41</v>
      </c>
      <c r="D68" s="22">
        <v>1</v>
      </c>
      <c r="E68" s="23">
        <v>9845</v>
      </c>
      <c r="F68" s="23">
        <v>9845</v>
      </c>
      <c r="G68" s="22" t="s">
        <v>49</v>
      </c>
      <c r="H68" s="28">
        <v>1260.22</v>
      </c>
      <c r="I68" s="22" t="s">
        <v>241</v>
      </c>
      <c r="J68" s="22" t="s">
        <v>67</v>
      </c>
      <c r="K68" s="22" t="s">
        <v>242</v>
      </c>
      <c r="L68" s="27">
        <f t="shared" si="7"/>
        <v>45747</v>
      </c>
      <c r="M68" s="29">
        <f t="shared" ca="1" si="8"/>
        <v>18</v>
      </c>
      <c r="N68" s="23">
        <f t="shared" ca="1" si="9"/>
        <v>578</v>
      </c>
      <c r="O68" s="24">
        <f t="shared" si="10"/>
        <v>0.12800609446419503</v>
      </c>
      <c r="P68" s="22" t="str">
        <f t="shared" si="11"/>
        <v>Repeat</v>
      </c>
      <c r="Q68" s="22" t="str">
        <f t="shared" si="12"/>
        <v>PRI-0325-09845</v>
      </c>
      <c r="R68" s="22" t="str">
        <f t="shared" si="13"/>
        <v>KM</v>
      </c>
      <c r="S68" s="29">
        <f>IF(AND(OR(FILTER_Demo!$B$3="All",G68=FILTER_Demo!$B$3),OR(FILTER_Demo!$B$4="All",C68=FILTER_Demo!$B$4),F68&gt;=FILTER_Demo!$B$5),1,0)</f>
        <v>0</v>
      </c>
      <c r="T68" s="29" t="str">
        <f>IF(S68=1,SUM($S$2:S68),"")</f>
        <v/>
      </c>
    </row>
    <row r="69" spans="1:20" x14ac:dyDescent="0.3">
      <c r="A69" s="22" t="s">
        <v>243</v>
      </c>
      <c r="B69" s="27">
        <v>45747</v>
      </c>
      <c r="C69" s="22" t="s">
        <v>45</v>
      </c>
      <c r="D69" s="22">
        <v>3</v>
      </c>
      <c r="E69" s="23">
        <v>1706</v>
      </c>
      <c r="F69" s="23">
        <v>5118</v>
      </c>
      <c r="G69" s="22" t="s">
        <v>52</v>
      </c>
      <c r="H69" s="28">
        <v>1342.85</v>
      </c>
      <c r="I69" s="22" t="s">
        <v>244</v>
      </c>
      <c r="J69" s="22" t="s">
        <v>65</v>
      </c>
      <c r="K69" s="22" t="s">
        <v>245</v>
      </c>
      <c r="L69" s="27">
        <f t="shared" si="7"/>
        <v>45747</v>
      </c>
      <c r="M69" s="29">
        <f t="shared" ca="1" si="8"/>
        <v>18</v>
      </c>
      <c r="N69" s="23">
        <f t="shared" ca="1" si="9"/>
        <v>578</v>
      </c>
      <c r="O69" s="24">
        <f t="shared" si="10"/>
        <v>0.26237788198515044</v>
      </c>
      <c r="P69" s="22" t="str">
        <f t="shared" si="11"/>
        <v>Repeat</v>
      </c>
      <c r="Q69" s="22" t="str">
        <f t="shared" si="12"/>
        <v>KEY-0325-05118</v>
      </c>
      <c r="R69" s="22" t="str">
        <f t="shared" si="13"/>
        <v>RS</v>
      </c>
      <c r="S69" s="29">
        <f>IF(AND(OR(FILTER_Demo!$B$3="All",G69=FILTER_Demo!$B$3),OR(FILTER_Demo!$B$4="All",C69=FILTER_Demo!$B$4),F69&gt;=FILTER_Demo!$B$5),1,0)</f>
        <v>0</v>
      </c>
      <c r="T69" s="29" t="str">
        <f>IF(S69=1,SUM($S$2:S69),"")</f>
        <v/>
      </c>
    </row>
    <row r="70" spans="1:20" x14ac:dyDescent="0.3">
      <c r="A70" s="22" t="s">
        <v>246</v>
      </c>
      <c r="B70" s="27">
        <v>45747</v>
      </c>
      <c r="C70" s="22" t="s">
        <v>43</v>
      </c>
      <c r="D70" s="22">
        <v>1</v>
      </c>
      <c r="E70" s="23">
        <v>3532</v>
      </c>
      <c r="F70" s="23">
        <v>3532</v>
      </c>
      <c r="G70" s="22" t="s">
        <v>53</v>
      </c>
      <c r="H70" s="28">
        <v>993.73</v>
      </c>
      <c r="I70" s="22" t="s">
        <v>129</v>
      </c>
      <c r="J70" s="22" t="s">
        <v>65</v>
      </c>
      <c r="K70" s="22" t="s">
        <v>130</v>
      </c>
      <c r="L70" s="27">
        <f t="shared" si="7"/>
        <v>45747</v>
      </c>
      <c r="M70" s="29">
        <f t="shared" ca="1" si="8"/>
        <v>18</v>
      </c>
      <c r="N70" s="23">
        <f t="shared" ca="1" si="9"/>
        <v>578</v>
      </c>
      <c r="O70" s="24">
        <f t="shared" si="10"/>
        <v>0.28135050962627406</v>
      </c>
      <c r="P70" s="22" t="str">
        <f t="shared" si="11"/>
        <v>Repeat</v>
      </c>
      <c r="Q70" s="22" t="str">
        <f t="shared" si="12"/>
        <v>HEA-0325-03532</v>
      </c>
      <c r="R70" s="22" t="str">
        <f t="shared" si="13"/>
        <v>RC</v>
      </c>
      <c r="S70" s="29">
        <f>IF(AND(OR(FILTER_Demo!$B$3="All",G70=FILTER_Demo!$B$3),OR(FILTER_Demo!$B$4="All",C70=FILTER_Demo!$B$4),F70&gt;=FILTER_Demo!$B$5),1,0)</f>
        <v>0</v>
      </c>
      <c r="T70" s="29" t="str">
        <f>IF(S70=1,SUM($S$2:S70),"")</f>
        <v/>
      </c>
    </row>
    <row r="71" spans="1:20" x14ac:dyDescent="0.3">
      <c r="A71" s="22" t="s">
        <v>247</v>
      </c>
      <c r="B71" s="27">
        <v>45749</v>
      </c>
      <c r="C71" s="22" t="s">
        <v>45</v>
      </c>
      <c r="D71" s="22">
        <v>4</v>
      </c>
      <c r="E71" s="23">
        <v>1662</v>
      </c>
      <c r="F71" s="23">
        <v>6648</v>
      </c>
      <c r="G71" s="22" t="s">
        <v>55</v>
      </c>
      <c r="H71" s="28">
        <v>2174.16</v>
      </c>
      <c r="I71" s="22" t="s">
        <v>248</v>
      </c>
      <c r="J71" s="22" t="s">
        <v>64</v>
      </c>
      <c r="K71" s="22" t="s">
        <v>249</v>
      </c>
      <c r="L71" s="27">
        <f t="shared" si="7"/>
        <v>45777</v>
      </c>
      <c r="M71" s="29">
        <f t="shared" ca="1" si="8"/>
        <v>18</v>
      </c>
      <c r="N71" s="23">
        <f t="shared" ca="1" si="9"/>
        <v>576</v>
      </c>
      <c r="O71" s="24">
        <f t="shared" si="10"/>
        <v>0.32703971119133574</v>
      </c>
      <c r="P71" s="22" t="str">
        <f t="shared" si="11"/>
        <v>Repeat</v>
      </c>
      <c r="Q71" s="22" t="str">
        <f t="shared" si="12"/>
        <v>KEY-0425-06648</v>
      </c>
      <c r="R71" s="22" t="str">
        <f t="shared" si="13"/>
        <v>PD</v>
      </c>
      <c r="S71" s="29">
        <f>IF(AND(OR(FILTER_Demo!$B$3="All",G71=FILTER_Demo!$B$3),OR(FILTER_Demo!$B$4="All",C71=FILTER_Demo!$B$4),F71&gt;=FILTER_Demo!$B$5),1,0)</f>
        <v>0</v>
      </c>
      <c r="T71" s="29" t="str">
        <f>IF(S71=1,SUM($S$2:S71),"")</f>
        <v/>
      </c>
    </row>
    <row r="72" spans="1:20" x14ac:dyDescent="0.3">
      <c r="A72" s="22" t="s">
        <v>250</v>
      </c>
      <c r="B72" s="27">
        <v>45750</v>
      </c>
      <c r="C72" s="22" t="s">
        <v>43</v>
      </c>
      <c r="D72" s="22">
        <v>1</v>
      </c>
      <c r="E72" s="23">
        <v>3606</v>
      </c>
      <c r="F72" s="23">
        <v>3606</v>
      </c>
      <c r="G72" s="22" t="s">
        <v>55</v>
      </c>
      <c r="H72" s="28">
        <v>1051.54</v>
      </c>
      <c r="I72" s="22" t="s">
        <v>251</v>
      </c>
      <c r="J72" s="22" t="s">
        <v>67</v>
      </c>
      <c r="K72" s="22" t="s">
        <v>252</v>
      </c>
      <c r="L72" s="27">
        <f t="shared" si="7"/>
        <v>45777</v>
      </c>
      <c r="M72" s="29">
        <f t="shared" ca="1" si="8"/>
        <v>18</v>
      </c>
      <c r="N72" s="23">
        <f t="shared" ca="1" si="9"/>
        <v>575</v>
      </c>
      <c r="O72" s="24">
        <f t="shared" si="10"/>
        <v>0.29160843039378814</v>
      </c>
      <c r="P72" s="22" t="str">
        <f t="shared" si="11"/>
        <v>Repeat</v>
      </c>
      <c r="Q72" s="22" t="str">
        <f t="shared" si="12"/>
        <v>HEA-0425-03606</v>
      </c>
      <c r="R72" s="22" t="str">
        <f t="shared" si="13"/>
        <v>AC</v>
      </c>
      <c r="S72" s="29">
        <f>IF(AND(OR(FILTER_Demo!$B$3="All",G72=FILTER_Demo!$B$3),OR(FILTER_Demo!$B$4="All",C72=FILTER_Demo!$B$4),F72&gt;=FILTER_Demo!$B$5),1,0)</f>
        <v>0</v>
      </c>
      <c r="T72" s="29" t="str">
        <f>IF(S72=1,SUM($S$2:S72),"")</f>
        <v/>
      </c>
    </row>
    <row r="73" spans="1:20" x14ac:dyDescent="0.3">
      <c r="A73" s="22" t="s">
        <v>253</v>
      </c>
      <c r="B73" s="27">
        <v>45757</v>
      </c>
      <c r="C73" s="22" t="s">
        <v>40</v>
      </c>
      <c r="D73" s="22">
        <v>1</v>
      </c>
      <c r="E73" s="23">
        <v>8494</v>
      </c>
      <c r="F73" s="23">
        <v>8494</v>
      </c>
      <c r="G73" s="22" t="s">
        <v>52</v>
      </c>
      <c r="H73" s="28">
        <v>1502.6</v>
      </c>
      <c r="I73" s="22" t="s">
        <v>101</v>
      </c>
      <c r="J73" s="22" t="s">
        <v>67</v>
      </c>
      <c r="K73" s="22" t="s">
        <v>102</v>
      </c>
      <c r="L73" s="27">
        <f t="shared" si="7"/>
        <v>45777</v>
      </c>
      <c r="M73" s="29">
        <f t="shared" ca="1" si="8"/>
        <v>18</v>
      </c>
      <c r="N73" s="23">
        <f t="shared" ca="1" si="9"/>
        <v>568</v>
      </c>
      <c r="O73" s="24">
        <f t="shared" si="10"/>
        <v>0.17690134212385211</v>
      </c>
      <c r="P73" s="22" t="str">
        <f t="shared" si="11"/>
        <v>Repeat</v>
      </c>
      <c r="Q73" s="22" t="str">
        <f t="shared" si="12"/>
        <v>SMA-0425-08494</v>
      </c>
      <c r="R73" s="22" t="str">
        <f t="shared" si="13"/>
        <v>AB</v>
      </c>
      <c r="S73" s="29">
        <f>IF(AND(OR(FILTER_Demo!$B$3="All",G73=FILTER_Demo!$B$3),OR(FILTER_Demo!$B$4="All",C73=FILTER_Demo!$B$4),F73&gt;=FILTER_Demo!$B$5),1,0)</f>
        <v>0</v>
      </c>
      <c r="T73" s="29" t="str">
        <f>IF(S73=1,SUM($S$2:S73),"")</f>
        <v/>
      </c>
    </row>
    <row r="74" spans="1:20" x14ac:dyDescent="0.3">
      <c r="A74" s="22" t="s">
        <v>254</v>
      </c>
      <c r="B74" s="27">
        <v>45762</v>
      </c>
      <c r="C74" s="22" t="s">
        <v>43</v>
      </c>
      <c r="D74" s="22">
        <v>1</v>
      </c>
      <c r="E74" s="23">
        <v>3573</v>
      </c>
      <c r="F74" s="23">
        <v>3573</v>
      </c>
      <c r="G74" s="22" t="s">
        <v>52</v>
      </c>
      <c r="H74" s="28">
        <v>971</v>
      </c>
      <c r="I74" s="22" t="s">
        <v>255</v>
      </c>
      <c r="J74" s="22" t="s">
        <v>67</v>
      </c>
      <c r="K74" s="22" t="s">
        <v>256</v>
      </c>
      <c r="L74" s="27">
        <f t="shared" si="7"/>
        <v>45777</v>
      </c>
      <c r="M74" s="29">
        <f t="shared" ca="1" si="8"/>
        <v>18</v>
      </c>
      <c r="N74" s="23">
        <f t="shared" ca="1" si="9"/>
        <v>563</v>
      </c>
      <c r="O74" s="24">
        <f t="shared" si="10"/>
        <v>0.27176042541281836</v>
      </c>
      <c r="P74" s="22" t="str">
        <f t="shared" si="11"/>
        <v>Repeat</v>
      </c>
      <c r="Q74" s="22" t="str">
        <f t="shared" si="12"/>
        <v>HEA-0425-03573</v>
      </c>
      <c r="R74" s="22" t="str">
        <f t="shared" si="13"/>
        <v>MS</v>
      </c>
      <c r="S74" s="29">
        <f>IF(AND(OR(FILTER_Demo!$B$3="All",G74=FILTER_Demo!$B$3),OR(FILTER_Demo!$B$4="All",C74=FILTER_Demo!$B$4),F74&gt;=FILTER_Demo!$B$5),1,0)</f>
        <v>0</v>
      </c>
      <c r="T74" s="29" t="str">
        <f>IF(S74=1,SUM($S$2:S74),"")</f>
        <v/>
      </c>
    </row>
    <row r="75" spans="1:20" x14ac:dyDescent="0.3">
      <c r="A75" s="22" t="s">
        <v>257</v>
      </c>
      <c r="B75" s="27">
        <v>45764</v>
      </c>
      <c r="C75" s="22" t="s">
        <v>44</v>
      </c>
      <c r="D75" s="22">
        <v>2</v>
      </c>
      <c r="E75" s="23">
        <v>2861</v>
      </c>
      <c r="F75" s="23">
        <v>5722</v>
      </c>
      <c r="G75" s="22" t="s">
        <v>51</v>
      </c>
      <c r="H75" s="28">
        <v>1396.22</v>
      </c>
      <c r="I75" s="22" t="s">
        <v>248</v>
      </c>
      <c r="J75" s="22" t="s">
        <v>64</v>
      </c>
      <c r="K75" s="22" t="s">
        <v>249</v>
      </c>
      <c r="L75" s="27">
        <f t="shared" si="7"/>
        <v>45777</v>
      </c>
      <c r="M75" s="29">
        <f t="shared" ca="1" si="8"/>
        <v>18</v>
      </c>
      <c r="N75" s="23">
        <f t="shared" ca="1" si="9"/>
        <v>561</v>
      </c>
      <c r="O75" s="24">
        <f t="shared" si="10"/>
        <v>0.24400908773156241</v>
      </c>
      <c r="P75" s="22" t="str">
        <f t="shared" si="11"/>
        <v>Repeat</v>
      </c>
      <c r="Q75" s="22" t="str">
        <f t="shared" si="12"/>
        <v>WEB-0425-05722</v>
      </c>
      <c r="R75" s="22" t="str">
        <f t="shared" si="13"/>
        <v>PD</v>
      </c>
      <c r="S75" s="29">
        <f>IF(AND(OR(FILTER_Demo!$B$3="All",G75=FILTER_Demo!$B$3),OR(FILTER_Demo!$B$4="All",C75=FILTER_Demo!$B$4),F75&gt;=FILTER_Demo!$B$5),1,0)</f>
        <v>0</v>
      </c>
      <c r="T75" s="29" t="str">
        <f>IF(S75=1,SUM($S$2:S75),"")</f>
        <v/>
      </c>
    </row>
    <row r="76" spans="1:20" x14ac:dyDescent="0.3">
      <c r="A76" s="22" t="s">
        <v>258</v>
      </c>
      <c r="B76" s="27">
        <v>45765</v>
      </c>
      <c r="C76" s="22" t="s">
        <v>38</v>
      </c>
      <c r="D76" s="22">
        <v>2</v>
      </c>
      <c r="E76" s="23">
        <v>11676</v>
      </c>
      <c r="F76" s="23">
        <v>23352</v>
      </c>
      <c r="G76" s="22" t="s">
        <v>52</v>
      </c>
      <c r="H76" s="28">
        <v>3199.65</v>
      </c>
      <c r="I76" s="22" t="s">
        <v>113</v>
      </c>
      <c r="J76" s="22" t="s">
        <v>68</v>
      </c>
      <c r="K76" s="22" t="s">
        <v>114</v>
      </c>
      <c r="L76" s="27">
        <f t="shared" si="7"/>
        <v>45777</v>
      </c>
      <c r="M76" s="29">
        <f t="shared" ca="1" si="8"/>
        <v>18</v>
      </c>
      <c r="N76" s="23">
        <f t="shared" ca="1" si="9"/>
        <v>560</v>
      </c>
      <c r="O76" s="24">
        <f t="shared" si="10"/>
        <v>0.13701824254881809</v>
      </c>
      <c r="P76" s="22" t="str">
        <f t="shared" si="11"/>
        <v>Repeat</v>
      </c>
      <c r="Q76" s="22" t="str">
        <f t="shared" si="12"/>
        <v>MON-0425-23352</v>
      </c>
      <c r="R76" s="22" t="str">
        <f t="shared" si="13"/>
        <v>VB</v>
      </c>
      <c r="S76" s="29">
        <f>IF(AND(OR(FILTER_Demo!$B$3="All",G76=FILTER_Demo!$B$3),OR(FILTER_Demo!$B$4="All",C76=FILTER_Demo!$B$4),F76&gt;=FILTER_Demo!$B$5),1,0)</f>
        <v>0</v>
      </c>
      <c r="T76" s="29" t="str">
        <f>IF(S76=1,SUM($S$2:S76),"")</f>
        <v/>
      </c>
    </row>
    <row r="77" spans="1:20" x14ac:dyDescent="0.3">
      <c r="A77" s="22" t="s">
        <v>259</v>
      </c>
      <c r="B77" s="27">
        <v>45766</v>
      </c>
      <c r="C77" s="22" t="s">
        <v>46</v>
      </c>
      <c r="D77" s="22">
        <v>5</v>
      </c>
      <c r="E77" s="23">
        <v>820</v>
      </c>
      <c r="F77" s="23">
        <v>4100</v>
      </c>
      <c r="G77" s="22" t="s">
        <v>51</v>
      </c>
      <c r="H77" s="28">
        <v>1108.81</v>
      </c>
      <c r="I77" s="22" t="s">
        <v>260</v>
      </c>
      <c r="J77" s="22" t="s">
        <v>66</v>
      </c>
      <c r="K77" s="22" t="s">
        <v>261</v>
      </c>
      <c r="L77" s="27">
        <f t="shared" si="7"/>
        <v>45777</v>
      </c>
      <c r="M77" s="29">
        <f t="shared" ca="1" si="8"/>
        <v>18</v>
      </c>
      <c r="N77" s="23">
        <f t="shared" ca="1" si="9"/>
        <v>559</v>
      </c>
      <c r="O77" s="24">
        <f t="shared" si="10"/>
        <v>0.27044146341463415</v>
      </c>
      <c r="P77" s="22" t="str">
        <f t="shared" si="11"/>
        <v>Repeat</v>
      </c>
      <c r="Q77" s="22" t="str">
        <f t="shared" si="12"/>
        <v>MOU-0425-04100</v>
      </c>
      <c r="R77" s="22" t="str">
        <f t="shared" si="13"/>
        <v>KD</v>
      </c>
      <c r="S77" s="29">
        <f>IF(AND(OR(FILTER_Demo!$B$3="All",G77=FILTER_Demo!$B$3),OR(FILTER_Demo!$B$4="All",C77=FILTER_Demo!$B$4),F77&gt;=FILTER_Demo!$B$5),1,0)</f>
        <v>0</v>
      </c>
      <c r="T77" s="29" t="str">
        <f>IF(S77=1,SUM($S$2:S77),"")</f>
        <v/>
      </c>
    </row>
    <row r="78" spans="1:20" x14ac:dyDescent="0.3">
      <c r="A78" s="22" t="s">
        <v>262</v>
      </c>
      <c r="B78" s="27">
        <v>45767</v>
      </c>
      <c r="C78" s="22" t="s">
        <v>41</v>
      </c>
      <c r="D78" s="22">
        <v>1</v>
      </c>
      <c r="E78" s="23">
        <v>9239</v>
      </c>
      <c r="F78" s="23">
        <v>9239</v>
      </c>
      <c r="G78" s="22" t="s">
        <v>52</v>
      </c>
      <c r="H78" s="28">
        <v>1182.83</v>
      </c>
      <c r="I78" s="22" t="s">
        <v>263</v>
      </c>
      <c r="J78" s="22" t="s">
        <v>65</v>
      </c>
      <c r="K78" s="22" t="s">
        <v>264</v>
      </c>
      <c r="L78" s="27">
        <f t="shared" si="7"/>
        <v>45777</v>
      </c>
      <c r="M78" s="29">
        <f t="shared" ca="1" si="8"/>
        <v>18</v>
      </c>
      <c r="N78" s="23">
        <f t="shared" ca="1" si="9"/>
        <v>558</v>
      </c>
      <c r="O78" s="24">
        <f t="shared" si="10"/>
        <v>0.12802576036367572</v>
      </c>
      <c r="P78" s="22" t="str">
        <f t="shared" si="11"/>
        <v>Repeat</v>
      </c>
      <c r="Q78" s="22" t="str">
        <f t="shared" si="12"/>
        <v>PRI-0425-09239</v>
      </c>
      <c r="R78" s="22" t="str">
        <f t="shared" si="13"/>
        <v>MJ</v>
      </c>
      <c r="S78" s="29">
        <f>IF(AND(OR(FILTER_Demo!$B$3="All",G78=FILTER_Demo!$B$3),OR(FILTER_Demo!$B$4="All",C78=FILTER_Demo!$B$4),F78&gt;=FILTER_Demo!$B$5),1,0)</f>
        <v>0</v>
      </c>
      <c r="T78" s="29" t="str">
        <f>IF(S78=1,SUM($S$2:S78),"")</f>
        <v/>
      </c>
    </row>
    <row r="79" spans="1:20" x14ac:dyDescent="0.3">
      <c r="A79" s="22" t="s">
        <v>265</v>
      </c>
      <c r="B79" s="27">
        <v>45772</v>
      </c>
      <c r="C79" s="22" t="s">
        <v>38</v>
      </c>
      <c r="D79" s="22">
        <v>1</v>
      </c>
      <c r="E79" s="23">
        <v>12769</v>
      </c>
      <c r="F79" s="23">
        <v>12769</v>
      </c>
      <c r="G79" s="22" t="s">
        <v>49</v>
      </c>
      <c r="H79" s="28">
        <v>2389.4899999999998</v>
      </c>
      <c r="I79" s="22" t="s">
        <v>266</v>
      </c>
      <c r="J79" s="22" t="s">
        <v>67</v>
      </c>
      <c r="K79" s="22" t="s">
        <v>267</v>
      </c>
      <c r="L79" s="27">
        <f t="shared" si="7"/>
        <v>45777</v>
      </c>
      <c r="M79" s="29">
        <f t="shared" ca="1" si="8"/>
        <v>18</v>
      </c>
      <c r="N79" s="23">
        <f t="shared" ca="1" si="9"/>
        <v>553</v>
      </c>
      <c r="O79" s="24">
        <f t="shared" si="10"/>
        <v>0.18713211684548514</v>
      </c>
      <c r="P79" s="22" t="str">
        <f t="shared" si="11"/>
        <v>Repeat</v>
      </c>
      <c r="Q79" s="22" t="str">
        <f t="shared" si="12"/>
        <v>MON-0425-12769</v>
      </c>
      <c r="R79" s="22" t="str">
        <f t="shared" si="13"/>
        <v>AS</v>
      </c>
      <c r="S79" s="29">
        <f>IF(AND(OR(FILTER_Demo!$B$3="All",G79=FILTER_Demo!$B$3),OR(FILTER_Demo!$B$4="All",C79=FILTER_Demo!$B$4),F79&gt;=FILTER_Demo!$B$5),1,0)</f>
        <v>0</v>
      </c>
      <c r="T79" s="29" t="str">
        <f>IF(S79=1,SUM($S$2:S79),"")</f>
        <v/>
      </c>
    </row>
    <row r="80" spans="1:20" x14ac:dyDescent="0.3">
      <c r="A80" s="22" t="s">
        <v>268</v>
      </c>
      <c r="B80" s="27">
        <v>45776</v>
      </c>
      <c r="C80" s="22" t="s">
        <v>44</v>
      </c>
      <c r="D80" s="22">
        <v>2</v>
      </c>
      <c r="E80" s="23">
        <v>2799</v>
      </c>
      <c r="F80" s="23">
        <v>5598</v>
      </c>
      <c r="G80" s="22" t="s">
        <v>53</v>
      </c>
      <c r="H80" s="28">
        <v>1278.1099999999999</v>
      </c>
      <c r="I80" s="22" t="s">
        <v>260</v>
      </c>
      <c r="J80" s="22" t="s">
        <v>67</v>
      </c>
      <c r="K80" s="22" t="s">
        <v>261</v>
      </c>
      <c r="L80" s="27">
        <f t="shared" si="7"/>
        <v>45777</v>
      </c>
      <c r="M80" s="29">
        <f t="shared" ca="1" si="8"/>
        <v>18</v>
      </c>
      <c r="N80" s="23">
        <f t="shared" ca="1" si="9"/>
        <v>549</v>
      </c>
      <c r="O80" s="24">
        <f t="shared" si="10"/>
        <v>0.22831546981064665</v>
      </c>
      <c r="P80" s="22" t="str">
        <f t="shared" si="11"/>
        <v>Repeat</v>
      </c>
      <c r="Q80" s="22" t="str">
        <f t="shared" si="12"/>
        <v>WEB-0425-05598</v>
      </c>
      <c r="R80" s="22" t="str">
        <f t="shared" si="13"/>
        <v>KD</v>
      </c>
      <c r="S80" s="29">
        <f>IF(AND(OR(FILTER_Demo!$B$3="All",G80=FILTER_Demo!$B$3),OR(FILTER_Demo!$B$4="All",C80=FILTER_Demo!$B$4),F80&gt;=FILTER_Demo!$B$5),1,0)</f>
        <v>0</v>
      </c>
      <c r="T80" s="29" t="str">
        <f>IF(S80=1,SUM($S$2:S80),"")</f>
        <v/>
      </c>
    </row>
    <row r="81" spans="1:20" x14ac:dyDescent="0.3">
      <c r="A81" s="22" t="s">
        <v>269</v>
      </c>
      <c r="B81" s="27">
        <v>45777</v>
      </c>
      <c r="C81" s="22" t="s">
        <v>35</v>
      </c>
      <c r="D81" s="22">
        <v>2</v>
      </c>
      <c r="E81" s="23">
        <v>47458</v>
      </c>
      <c r="F81" s="23">
        <v>94916</v>
      </c>
      <c r="G81" s="22" t="s">
        <v>49</v>
      </c>
      <c r="H81" s="28">
        <v>17893.77</v>
      </c>
      <c r="I81" s="22" t="s">
        <v>270</v>
      </c>
      <c r="J81" s="22" t="s">
        <v>66</v>
      </c>
      <c r="K81" s="22" t="s">
        <v>271</v>
      </c>
      <c r="L81" s="27">
        <f t="shared" si="7"/>
        <v>45777</v>
      </c>
      <c r="M81" s="29">
        <f t="shared" ca="1" si="8"/>
        <v>18</v>
      </c>
      <c r="N81" s="23">
        <f t="shared" ca="1" si="9"/>
        <v>548</v>
      </c>
      <c r="O81" s="24">
        <f t="shared" si="10"/>
        <v>0.18852216696868812</v>
      </c>
      <c r="P81" s="22" t="str">
        <f t="shared" si="11"/>
        <v>Repeat</v>
      </c>
      <c r="Q81" s="22" t="str">
        <f t="shared" si="12"/>
        <v>LAP-0425-94916</v>
      </c>
      <c r="R81" s="22" t="str">
        <f t="shared" si="13"/>
        <v>RS</v>
      </c>
      <c r="S81" s="29">
        <f>IF(AND(OR(FILTER_Demo!$B$3="All",G81=FILTER_Demo!$B$3),OR(FILTER_Demo!$B$4="All",C81=FILTER_Demo!$B$4),F81&gt;=FILTER_Demo!$B$5),1,0)</f>
        <v>0</v>
      </c>
      <c r="T81" s="29" t="str">
        <f>IF(S81=1,SUM($S$2:S81),"")</f>
        <v/>
      </c>
    </row>
    <row r="82" spans="1:20" x14ac:dyDescent="0.3">
      <c r="A82" s="22" t="s">
        <v>272</v>
      </c>
      <c r="B82" s="27">
        <v>45777</v>
      </c>
      <c r="C82" s="22" t="s">
        <v>46</v>
      </c>
      <c r="D82" s="22">
        <v>3</v>
      </c>
      <c r="E82" s="23">
        <v>979</v>
      </c>
      <c r="F82" s="23">
        <v>2937</v>
      </c>
      <c r="G82" s="22" t="s">
        <v>53</v>
      </c>
      <c r="H82" s="28">
        <v>766.07</v>
      </c>
      <c r="I82" s="22" t="s">
        <v>273</v>
      </c>
      <c r="J82" s="22" t="s">
        <v>68</v>
      </c>
      <c r="K82" s="22" t="s">
        <v>274</v>
      </c>
      <c r="L82" s="27">
        <f t="shared" si="7"/>
        <v>45777</v>
      </c>
      <c r="M82" s="29">
        <f t="shared" ca="1" si="8"/>
        <v>18</v>
      </c>
      <c r="N82" s="23">
        <f t="shared" ca="1" si="9"/>
        <v>548</v>
      </c>
      <c r="O82" s="24">
        <f t="shared" si="10"/>
        <v>0.26083418454204971</v>
      </c>
      <c r="P82" s="22" t="str">
        <f t="shared" si="11"/>
        <v>Repeat</v>
      </c>
      <c r="Q82" s="22" t="str">
        <f t="shared" si="12"/>
        <v>MOU-0425-02937</v>
      </c>
      <c r="R82" s="22" t="str">
        <f t="shared" si="13"/>
        <v>VN</v>
      </c>
      <c r="S82" s="29">
        <f>IF(AND(OR(FILTER_Demo!$B$3="All",G82=FILTER_Demo!$B$3),OR(FILTER_Demo!$B$4="All",C82=FILTER_Demo!$B$4),F82&gt;=FILTER_Demo!$B$5),1,0)</f>
        <v>0</v>
      </c>
      <c r="T82" s="29" t="str">
        <f>IF(S82=1,SUM($S$2:S82),"")</f>
        <v/>
      </c>
    </row>
    <row r="83" spans="1:20" x14ac:dyDescent="0.3">
      <c r="A83" s="22" t="s">
        <v>275</v>
      </c>
      <c r="B83" s="27">
        <v>45779</v>
      </c>
      <c r="C83" s="22" t="s">
        <v>41</v>
      </c>
      <c r="D83" s="22">
        <v>3</v>
      </c>
      <c r="E83" s="23">
        <v>10391</v>
      </c>
      <c r="F83" s="23">
        <v>31173</v>
      </c>
      <c r="G83" s="22" t="s">
        <v>51</v>
      </c>
      <c r="H83" s="28">
        <v>6316.79</v>
      </c>
      <c r="I83" s="22" t="s">
        <v>98</v>
      </c>
      <c r="J83" s="22" t="s">
        <v>67</v>
      </c>
      <c r="K83" s="22" t="s">
        <v>99</v>
      </c>
      <c r="L83" s="27">
        <f t="shared" si="7"/>
        <v>45808</v>
      </c>
      <c r="M83" s="29">
        <f t="shared" ca="1" si="8"/>
        <v>17</v>
      </c>
      <c r="N83" s="23">
        <f t="shared" ca="1" si="9"/>
        <v>546</v>
      </c>
      <c r="O83" s="24">
        <f t="shared" si="10"/>
        <v>0.20263657652455649</v>
      </c>
      <c r="P83" s="22" t="str">
        <f t="shared" si="11"/>
        <v>Repeat</v>
      </c>
      <c r="Q83" s="22" t="str">
        <f t="shared" si="12"/>
        <v>PRI-0525-31173</v>
      </c>
      <c r="R83" s="22" t="str">
        <f t="shared" si="13"/>
        <v>MN</v>
      </c>
      <c r="S83" s="29">
        <f>IF(AND(OR(FILTER_Demo!$B$3="All",G83=FILTER_Demo!$B$3),OR(FILTER_Demo!$B$4="All",C83=FILTER_Demo!$B$4),F83&gt;=FILTER_Demo!$B$5),1,0)</f>
        <v>0</v>
      </c>
      <c r="T83" s="29" t="str">
        <f>IF(S83=1,SUM($S$2:S83),"")</f>
        <v/>
      </c>
    </row>
    <row r="84" spans="1:20" x14ac:dyDescent="0.3">
      <c r="A84" s="22" t="s">
        <v>276</v>
      </c>
      <c r="B84" s="27">
        <v>45780</v>
      </c>
      <c r="C84" s="22" t="s">
        <v>38</v>
      </c>
      <c r="D84" s="22">
        <v>4</v>
      </c>
      <c r="E84" s="23">
        <v>12887</v>
      </c>
      <c r="F84" s="23">
        <v>51548</v>
      </c>
      <c r="G84" s="22" t="s">
        <v>55</v>
      </c>
      <c r="H84" s="28">
        <v>10210.5</v>
      </c>
      <c r="I84" s="22" t="s">
        <v>277</v>
      </c>
      <c r="J84" s="22" t="s">
        <v>65</v>
      </c>
      <c r="K84" s="22" t="s">
        <v>278</v>
      </c>
      <c r="L84" s="27">
        <f t="shared" si="7"/>
        <v>45808</v>
      </c>
      <c r="M84" s="29">
        <f t="shared" ca="1" si="8"/>
        <v>17</v>
      </c>
      <c r="N84" s="23">
        <f t="shared" ca="1" si="9"/>
        <v>545</v>
      </c>
      <c r="O84" s="24">
        <f t="shared" si="10"/>
        <v>0.19807751998137657</v>
      </c>
      <c r="P84" s="22" t="str">
        <f t="shared" si="11"/>
        <v>Repeat</v>
      </c>
      <c r="Q84" s="22" t="str">
        <f t="shared" si="12"/>
        <v>MON-0525-51548</v>
      </c>
      <c r="R84" s="22" t="str">
        <f t="shared" si="13"/>
        <v>IR</v>
      </c>
      <c r="S84" s="29">
        <f>IF(AND(OR(FILTER_Demo!$B$3="All",G84=FILTER_Demo!$B$3),OR(FILTER_Demo!$B$4="All",C84=FILTER_Demo!$B$4),F84&gt;=FILTER_Demo!$B$5),1,0)</f>
        <v>0</v>
      </c>
      <c r="T84" s="29" t="str">
        <f>IF(S84=1,SUM($S$2:S84),"")</f>
        <v/>
      </c>
    </row>
    <row r="85" spans="1:20" x14ac:dyDescent="0.3">
      <c r="A85" s="22" t="s">
        <v>279</v>
      </c>
      <c r="B85" s="27">
        <v>45781</v>
      </c>
      <c r="C85" s="22" t="s">
        <v>36</v>
      </c>
      <c r="D85" s="22">
        <v>1</v>
      </c>
      <c r="E85" s="23">
        <v>21588</v>
      </c>
      <c r="F85" s="23">
        <v>21588</v>
      </c>
      <c r="G85" s="22" t="s">
        <v>53</v>
      </c>
      <c r="H85" s="28">
        <v>2709.67</v>
      </c>
      <c r="I85" s="22" t="s">
        <v>263</v>
      </c>
      <c r="J85" s="22" t="s">
        <v>67</v>
      </c>
      <c r="K85" s="22" t="s">
        <v>264</v>
      </c>
      <c r="L85" s="27">
        <f t="shared" si="7"/>
        <v>45808</v>
      </c>
      <c r="M85" s="29">
        <f t="shared" ca="1" si="8"/>
        <v>17</v>
      </c>
      <c r="N85" s="23">
        <f t="shared" ca="1" si="9"/>
        <v>544</v>
      </c>
      <c r="O85" s="24">
        <f t="shared" si="10"/>
        <v>0.12551741708356495</v>
      </c>
      <c r="P85" s="22" t="str">
        <f t="shared" si="11"/>
        <v>Repeat</v>
      </c>
      <c r="Q85" s="22" t="str">
        <f t="shared" si="12"/>
        <v>SMA-0525-21588</v>
      </c>
      <c r="R85" s="22" t="str">
        <f t="shared" si="13"/>
        <v>MJ</v>
      </c>
      <c r="S85" s="29">
        <f>IF(AND(OR(FILTER_Demo!$B$3="All",G85=FILTER_Demo!$B$3),OR(FILTER_Demo!$B$4="All",C85=FILTER_Demo!$B$4),F85&gt;=FILTER_Demo!$B$5),1,0)</f>
        <v>0</v>
      </c>
      <c r="T85" s="29" t="str">
        <f>IF(S85=1,SUM($S$2:S85),"")</f>
        <v/>
      </c>
    </row>
    <row r="86" spans="1:20" x14ac:dyDescent="0.3">
      <c r="A86" s="22" t="s">
        <v>280</v>
      </c>
      <c r="B86" s="27">
        <v>45781</v>
      </c>
      <c r="C86" s="22" t="s">
        <v>38</v>
      </c>
      <c r="D86" s="22">
        <v>1</v>
      </c>
      <c r="E86" s="23">
        <v>13069</v>
      </c>
      <c r="F86" s="23">
        <v>13069</v>
      </c>
      <c r="G86" s="22" t="s">
        <v>51</v>
      </c>
      <c r="H86" s="28">
        <v>1967.47</v>
      </c>
      <c r="I86" s="22" t="s">
        <v>181</v>
      </c>
      <c r="J86" s="22" t="s">
        <v>66</v>
      </c>
      <c r="K86" s="22" t="s">
        <v>182</v>
      </c>
      <c r="L86" s="27">
        <f t="shared" si="7"/>
        <v>45808</v>
      </c>
      <c r="M86" s="29">
        <f t="shared" ca="1" si="8"/>
        <v>17</v>
      </c>
      <c r="N86" s="23">
        <f t="shared" ca="1" si="9"/>
        <v>544</v>
      </c>
      <c r="O86" s="24">
        <f t="shared" si="10"/>
        <v>0.15054480067334916</v>
      </c>
      <c r="P86" s="22" t="str">
        <f t="shared" si="11"/>
        <v>Repeat</v>
      </c>
      <c r="Q86" s="22" t="str">
        <f t="shared" si="12"/>
        <v>MON-0525-13069</v>
      </c>
      <c r="R86" s="22" t="str">
        <f t="shared" si="13"/>
        <v>ND</v>
      </c>
      <c r="S86" s="29">
        <f>IF(AND(OR(FILTER_Demo!$B$3="All",G86=FILTER_Demo!$B$3),OR(FILTER_Demo!$B$4="All",C86=FILTER_Demo!$B$4),F86&gt;=FILTER_Demo!$B$5),1,0)</f>
        <v>0</v>
      </c>
      <c r="T86" s="29" t="str">
        <f>IF(S86=1,SUM($S$2:S86),"")</f>
        <v/>
      </c>
    </row>
    <row r="87" spans="1:20" x14ac:dyDescent="0.3">
      <c r="A87" s="22" t="s">
        <v>281</v>
      </c>
      <c r="B87" s="27">
        <v>45782</v>
      </c>
      <c r="C87" s="22" t="s">
        <v>40</v>
      </c>
      <c r="D87" s="22">
        <v>3</v>
      </c>
      <c r="E87" s="23">
        <v>7339</v>
      </c>
      <c r="F87" s="23">
        <v>22017</v>
      </c>
      <c r="G87" s="22" t="s">
        <v>53</v>
      </c>
      <c r="H87" s="28">
        <v>4803.3</v>
      </c>
      <c r="I87" s="22" t="s">
        <v>238</v>
      </c>
      <c r="J87" s="22" t="s">
        <v>68</v>
      </c>
      <c r="K87" s="22" t="s">
        <v>239</v>
      </c>
      <c r="L87" s="27">
        <f t="shared" si="7"/>
        <v>45808</v>
      </c>
      <c r="M87" s="29">
        <f t="shared" ca="1" si="8"/>
        <v>17</v>
      </c>
      <c r="N87" s="23">
        <f t="shared" ca="1" si="9"/>
        <v>543</v>
      </c>
      <c r="O87" s="24">
        <f t="shared" si="10"/>
        <v>0.21816323749829677</v>
      </c>
      <c r="P87" s="22" t="str">
        <f t="shared" si="11"/>
        <v>Repeat</v>
      </c>
      <c r="Q87" s="22" t="str">
        <f t="shared" si="12"/>
        <v>SMA-0525-22017</v>
      </c>
      <c r="R87" s="22" t="str">
        <f t="shared" si="13"/>
        <v>NB</v>
      </c>
      <c r="S87" s="29">
        <f>IF(AND(OR(FILTER_Demo!$B$3="All",G87=FILTER_Demo!$B$3),OR(FILTER_Demo!$B$4="All",C87=FILTER_Demo!$B$4),F87&gt;=FILTER_Demo!$B$5),1,0)</f>
        <v>0</v>
      </c>
      <c r="T87" s="29" t="str">
        <f>IF(S87=1,SUM($S$2:S87),"")</f>
        <v/>
      </c>
    </row>
    <row r="88" spans="1:20" x14ac:dyDescent="0.3">
      <c r="A88" s="22" t="s">
        <v>282</v>
      </c>
      <c r="B88" s="27">
        <v>45783</v>
      </c>
      <c r="C88" s="22" t="s">
        <v>41</v>
      </c>
      <c r="D88" s="22">
        <v>1</v>
      </c>
      <c r="E88" s="23">
        <v>10323</v>
      </c>
      <c r="F88" s="23">
        <v>10323</v>
      </c>
      <c r="G88" s="22" t="s">
        <v>52</v>
      </c>
      <c r="H88" s="28">
        <v>2044.85</v>
      </c>
      <c r="I88" s="22" t="s">
        <v>235</v>
      </c>
      <c r="J88" s="22" t="s">
        <v>65</v>
      </c>
      <c r="K88" s="22" t="s">
        <v>236</v>
      </c>
      <c r="L88" s="27">
        <f t="shared" si="7"/>
        <v>45808</v>
      </c>
      <c r="M88" s="29">
        <f t="shared" ca="1" si="8"/>
        <v>17</v>
      </c>
      <c r="N88" s="23">
        <f t="shared" ca="1" si="9"/>
        <v>542</v>
      </c>
      <c r="O88" s="24">
        <f t="shared" si="10"/>
        <v>0.19808679647389324</v>
      </c>
      <c r="P88" s="22" t="str">
        <f t="shared" si="11"/>
        <v>Repeat</v>
      </c>
      <c r="Q88" s="22" t="str">
        <f t="shared" si="12"/>
        <v>PRI-0525-10323</v>
      </c>
      <c r="R88" s="22" t="str">
        <f t="shared" si="13"/>
        <v>RD</v>
      </c>
      <c r="S88" s="29">
        <f>IF(AND(OR(FILTER_Demo!$B$3="All",G88=FILTER_Demo!$B$3),OR(FILTER_Demo!$B$4="All",C88=FILTER_Demo!$B$4),F88&gt;=FILTER_Demo!$B$5),1,0)</f>
        <v>0</v>
      </c>
      <c r="T88" s="29" t="str">
        <f>IF(S88=1,SUM($S$2:S88),"")</f>
        <v/>
      </c>
    </row>
    <row r="89" spans="1:20" x14ac:dyDescent="0.3">
      <c r="A89" s="22" t="s">
        <v>283</v>
      </c>
      <c r="B89" s="27">
        <v>45786</v>
      </c>
      <c r="C89" s="22" t="s">
        <v>44</v>
      </c>
      <c r="D89" s="22">
        <v>3</v>
      </c>
      <c r="E89" s="23">
        <v>2643</v>
      </c>
      <c r="F89" s="23">
        <v>7929</v>
      </c>
      <c r="G89" s="22" t="s">
        <v>51</v>
      </c>
      <c r="H89" s="28">
        <v>1498.69</v>
      </c>
      <c r="I89" s="22" t="s">
        <v>107</v>
      </c>
      <c r="J89" s="22" t="s">
        <v>64</v>
      </c>
      <c r="K89" s="22" t="s">
        <v>108</v>
      </c>
      <c r="L89" s="27">
        <f t="shared" si="7"/>
        <v>45808</v>
      </c>
      <c r="M89" s="29">
        <f t="shared" ca="1" si="8"/>
        <v>17</v>
      </c>
      <c r="N89" s="23">
        <f t="shared" ca="1" si="9"/>
        <v>539</v>
      </c>
      <c r="O89" s="24">
        <f t="shared" si="10"/>
        <v>0.18901374700466642</v>
      </c>
      <c r="P89" s="22" t="str">
        <f t="shared" si="11"/>
        <v>Repeat</v>
      </c>
      <c r="Q89" s="22" t="str">
        <f t="shared" si="12"/>
        <v>WEB-0525-07929</v>
      </c>
      <c r="R89" s="22" t="str">
        <f t="shared" si="13"/>
        <v>VM</v>
      </c>
      <c r="S89" s="29">
        <f>IF(AND(OR(FILTER_Demo!$B$3="All",G89=FILTER_Demo!$B$3),OR(FILTER_Demo!$B$4="All",C89=FILTER_Demo!$B$4),F89&gt;=FILTER_Demo!$B$5),1,0)</f>
        <v>0</v>
      </c>
      <c r="T89" s="29" t="str">
        <f>IF(S89=1,SUM($S$2:S89),"")</f>
        <v/>
      </c>
    </row>
    <row r="90" spans="1:20" x14ac:dyDescent="0.3">
      <c r="A90" s="22" t="s">
        <v>284</v>
      </c>
      <c r="B90" s="27">
        <v>45787</v>
      </c>
      <c r="C90" s="22" t="s">
        <v>36</v>
      </c>
      <c r="D90" s="22">
        <v>1</v>
      </c>
      <c r="E90" s="23">
        <v>22255</v>
      </c>
      <c r="F90" s="23">
        <v>22255</v>
      </c>
      <c r="G90" s="22" t="s">
        <v>55</v>
      </c>
      <c r="H90" s="28">
        <v>2418.15</v>
      </c>
      <c r="I90" s="22" t="s">
        <v>132</v>
      </c>
      <c r="J90" s="22" t="s">
        <v>66</v>
      </c>
      <c r="K90" s="22" t="s">
        <v>133</v>
      </c>
      <c r="L90" s="27">
        <f t="shared" si="7"/>
        <v>45808</v>
      </c>
      <c r="M90" s="29">
        <f t="shared" ca="1" si="8"/>
        <v>17</v>
      </c>
      <c r="N90" s="23">
        <f t="shared" ca="1" si="9"/>
        <v>538</v>
      </c>
      <c r="O90" s="24">
        <f t="shared" si="10"/>
        <v>0.10865648168950798</v>
      </c>
      <c r="P90" s="22" t="str">
        <f t="shared" si="11"/>
        <v>Repeat</v>
      </c>
      <c r="Q90" s="22" t="str">
        <f t="shared" si="12"/>
        <v>SMA-0525-22255</v>
      </c>
      <c r="R90" s="22" t="str">
        <f t="shared" si="13"/>
        <v>RR</v>
      </c>
      <c r="S90" s="29">
        <f>IF(AND(OR(FILTER_Demo!$B$3="All",G90=FILTER_Demo!$B$3),OR(FILTER_Demo!$B$4="All",C90=FILTER_Demo!$B$4),F90&gt;=FILTER_Demo!$B$5),1,0)</f>
        <v>0</v>
      </c>
      <c r="T90" s="29" t="str">
        <f>IF(S90=1,SUM($S$2:S90),"")</f>
        <v/>
      </c>
    </row>
    <row r="91" spans="1:20" x14ac:dyDescent="0.3">
      <c r="A91" s="22" t="s">
        <v>285</v>
      </c>
      <c r="B91" s="27">
        <v>45791</v>
      </c>
      <c r="C91" s="22" t="s">
        <v>41</v>
      </c>
      <c r="D91" s="22">
        <v>1</v>
      </c>
      <c r="E91" s="23">
        <v>9617</v>
      </c>
      <c r="F91" s="23">
        <v>9617</v>
      </c>
      <c r="G91" s="22" t="s">
        <v>53</v>
      </c>
      <c r="H91" s="28">
        <v>1309.6199999999999</v>
      </c>
      <c r="I91" s="22" t="s">
        <v>165</v>
      </c>
      <c r="J91" s="22" t="s">
        <v>68</v>
      </c>
      <c r="K91" s="22" t="s">
        <v>166</v>
      </c>
      <c r="L91" s="27">
        <f t="shared" si="7"/>
        <v>45808</v>
      </c>
      <c r="M91" s="29">
        <f t="shared" ca="1" si="8"/>
        <v>17</v>
      </c>
      <c r="N91" s="23">
        <f t="shared" ca="1" si="9"/>
        <v>534</v>
      </c>
      <c r="O91" s="24">
        <f t="shared" si="10"/>
        <v>0.13617760216283664</v>
      </c>
      <c r="P91" s="22" t="str">
        <f t="shared" si="11"/>
        <v>Repeat</v>
      </c>
      <c r="Q91" s="22" t="str">
        <f t="shared" si="12"/>
        <v>PRI-0525-09617</v>
      </c>
      <c r="R91" s="22" t="str">
        <f t="shared" si="13"/>
        <v>KS</v>
      </c>
      <c r="S91" s="29">
        <f>IF(AND(OR(FILTER_Demo!$B$3="All",G91=FILTER_Demo!$B$3),OR(FILTER_Demo!$B$4="All",C91=FILTER_Demo!$B$4),F91&gt;=FILTER_Demo!$B$5),1,0)</f>
        <v>0</v>
      </c>
      <c r="T91" s="29" t="str">
        <f>IF(S91=1,SUM($S$2:S91),"")</f>
        <v/>
      </c>
    </row>
    <row r="92" spans="1:20" x14ac:dyDescent="0.3">
      <c r="A92" s="22" t="s">
        <v>286</v>
      </c>
      <c r="B92" s="27">
        <v>45792</v>
      </c>
      <c r="C92" s="22" t="s">
        <v>36</v>
      </c>
      <c r="D92" s="22">
        <v>1</v>
      </c>
      <c r="E92" s="23">
        <v>20496</v>
      </c>
      <c r="F92" s="23">
        <v>20496</v>
      </c>
      <c r="G92" s="22" t="s">
        <v>55</v>
      </c>
      <c r="H92" s="28">
        <v>1441.37</v>
      </c>
      <c r="I92" s="22" t="s">
        <v>287</v>
      </c>
      <c r="J92" s="22" t="s">
        <v>68</v>
      </c>
      <c r="K92" s="22" t="s">
        <v>288</v>
      </c>
      <c r="L92" s="27">
        <f t="shared" si="7"/>
        <v>45808</v>
      </c>
      <c r="M92" s="29">
        <f t="shared" ca="1" si="8"/>
        <v>17</v>
      </c>
      <c r="N92" s="23">
        <f t="shared" ca="1" si="9"/>
        <v>533</v>
      </c>
      <c r="O92" s="24">
        <f t="shared" si="10"/>
        <v>7.0324453551912566E-2</v>
      </c>
      <c r="P92" s="22" t="str">
        <f t="shared" si="11"/>
        <v>Repeat</v>
      </c>
      <c r="Q92" s="22" t="str">
        <f t="shared" si="12"/>
        <v>SMA-0525-20496</v>
      </c>
      <c r="R92" s="22" t="str">
        <f t="shared" si="13"/>
        <v>SP</v>
      </c>
      <c r="S92" s="29">
        <f>IF(AND(OR(FILTER_Demo!$B$3="All",G92=FILTER_Demo!$B$3),OR(FILTER_Demo!$B$4="All",C92=FILTER_Demo!$B$4),F92&gt;=FILTER_Demo!$B$5),1,0)</f>
        <v>0</v>
      </c>
      <c r="T92" s="29" t="str">
        <f>IF(S92=1,SUM($S$2:S92),"")</f>
        <v/>
      </c>
    </row>
    <row r="93" spans="1:20" x14ac:dyDescent="0.3">
      <c r="A93" s="22" t="s">
        <v>289</v>
      </c>
      <c r="B93" s="27">
        <v>45793</v>
      </c>
      <c r="C93" s="22" t="s">
        <v>39</v>
      </c>
      <c r="D93" s="22">
        <v>4</v>
      </c>
      <c r="E93" s="23">
        <v>16573</v>
      </c>
      <c r="F93" s="23">
        <v>66292</v>
      </c>
      <c r="G93" s="22" t="s">
        <v>49</v>
      </c>
      <c r="H93" s="28">
        <v>11124.64</v>
      </c>
      <c r="I93" s="22" t="s">
        <v>195</v>
      </c>
      <c r="J93" s="22" t="s">
        <v>68</v>
      </c>
      <c r="K93" s="22" t="s">
        <v>196</v>
      </c>
      <c r="L93" s="27">
        <f t="shared" si="7"/>
        <v>45808</v>
      </c>
      <c r="M93" s="29">
        <f t="shared" ca="1" si="8"/>
        <v>17</v>
      </c>
      <c r="N93" s="23">
        <f t="shared" ca="1" si="9"/>
        <v>532</v>
      </c>
      <c r="O93" s="24">
        <f t="shared" si="10"/>
        <v>0.16781270741567608</v>
      </c>
      <c r="P93" s="22" t="str">
        <f t="shared" si="11"/>
        <v>Repeat</v>
      </c>
      <c r="Q93" s="22" t="str">
        <f t="shared" si="12"/>
        <v>TAB-0525-66292</v>
      </c>
      <c r="R93" s="22" t="str">
        <f t="shared" si="13"/>
        <v>AK</v>
      </c>
      <c r="S93" s="29">
        <f>IF(AND(OR(FILTER_Demo!$B$3="All",G93=FILTER_Demo!$B$3),OR(FILTER_Demo!$B$4="All",C93=FILTER_Demo!$B$4),F93&gt;=FILTER_Demo!$B$5),1,0)</f>
        <v>1</v>
      </c>
      <c r="T93" s="29">
        <f>IF(S93=1,SUM($S$2:S93),"")</f>
        <v>9</v>
      </c>
    </row>
    <row r="94" spans="1:20" x14ac:dyDescent="0.3">
      <c r="A94" s="22" t="s">
        <v>290</v>
      </c>
      <c r="B94" s="27">
        <v>45794</v>
      </c>
      <c r="C94" s="22" t="s">
        <v>41</v>
      </c>
      <c r="D94" s="22">
        <v>2</v>
      </c>
      <c r="E94" s="23">
        <v>9156</v>
      </c>
      <c r="F94" s="23">
        <v>18312</v>
      </c>
      <c r="G94" s="22" t="s">
        <v>53</v>
      </c>
      <c r="H94" s="28">
        <v>2868.52</v>
      </c>
      <c r="I94" s="22" t="s">
        <v>126</v>
      </c>
      <c r="J94" s="22" t="s">
        <v>65</v>
      </c>
      <c r="K94" s="22" t="s">
        <v>127</v>
      </c>
      <c r="L94" s="27">
        <f t="shared" si="7"/>
        <v>45808</v>
      </c>
      <c r="M94" s="29">
        <f t="shared" ca="1" si="8"/>
        <v>17</v>
      </c>
      <c r="N94" s="23">
        <f t="shared" ca="1" si="9"/>
        <v>531</v>
      </c>
      <c r="O94" s="24">
        <f t="shared" si="10"/>
        <v>0.15664700742682394</v>
      </c>
      <c r="P94" s="22" t="str">
        <f t="shared" si="11"/>
        <v>Repeat</v>
      </c>
      <c r="Q94" s="22" t="str">
        <f t="shared" si="12"/>
        <v>PRI-0525-18312</v>
      </c>
      <c r="R94" s="22" t="str">
        <f t="shared" si="13"/>
        <v>RB</v>
      </c>
      <c r="S94" s="29">
        <f>IF(AND(OR(FILTER_Demo!$B$3="All",G94=FILTER_Demo!$B$3),OR(FILTER_Demo!$B$4="All",C94=FILTER_Demo!$B$4),F94&gt;=FILTER_Demo!$B$5),1,0)</f>
        <v>0</v>
      </c>
      <c r="T94" s="29" t="str">
        <f>IF(S94=1,SUM($S$2:S94),"")</f>
        <v/>
      </c>
    </row>
    <row r="95" spans="1:20" x14ac:dyDescent="0.3">
      <c r="A95" s="22" t="s">
        <v>291</v>
      </c>
      <c r="B95" s="27">
        <v>45795</v>
      </c>
      <c r="C95" s="22" t="s">
        <v>35</v>
      </c>
      <c r="D95" s="22">
        <v>1</v>
      </c>
      <c r="E95" s="23">
        <v>40789</v>
      </c>
      <c r="F95" s="23">
        <v>40789</v>
      </c>
      <c r="G95" s="22" t="s">
        <v>49</v>
      </c>
      <c r="H95" s="28">
        <v>4957.71</v>
      </c>
      <c r="I95" s="22" t="s">
        <v>165</v>
      </c>
      <c r="J95" s="22" t="s">
        <v>68</v>
      </c>
      <c r="K95" s="22" t="s">
        <v>166</v>
      </c>
      <c r="L95" s="27">
        <f t="shared" si="7"/>
        <v>45808</v>
      </c>
      <c r="M95" s="29">
        <f t="shared" ca="1" si="8"/>
        <v>17</v>
      </c>
      <c r="N95" s="23">
        <f t="shared" ca="1" si="9"/>
        <v>530</v>
      </c>
      <c r="O95" s="24">
        <f t="shared" si="10"/>
        <v>0.12154526955796906</v>
      </c>
      <c r="P95" s="22" t="str">
        <f t="shared" si="11"/>
        <v>Repeat</v>
      </c>
      <c r="Q95" s="22" t="str">
        <f t="shared" si="12"/>
        <v>LAP-0525-40789</v>
      </c>
      <c r="R95" s="22" t="str">
        <f t="shared" si="13"/>
        <v>KS</v>
      </c>
      <c r="S95" s="29">
        <f>IF(AND(OR(FILTER_Demo!$B$3="All",G95=FILTER_Demo!$B$3),OR(FILTER_Demo!$B$4="All",C95=FILTER_Demo!$B$4),F95&gt;=FILTER_Demo!$B$5),1,0)</f>
        <v>0</v>
      </c>
      <c r="T95" s="29" t="str">
        <f>IF(S95=1,SUM($S$2:S95),"")</f>
        <v/>
      </c>
    </row>
    <row r="96" spans="1:20" x14ac:dyDescent="0.3">
      <c r="A96" s="22" t="s">
        <v>292</v>
      </c>
      <c r="B96" s="27">
        <v>45796</v>
      </c>
      <c r="C96" s="22" t="s">
        <v>43</v>
      </c>
      <c r="D96" s="22">
        <v>2</v>
      </c>
      <c r="E96" s="23">
        <v>3321</v>
      </c>
      <c r="F96" s="23">
        <v>6642</v>
      </c>
      <c r="G96" s="22" t="s">
        <v>55</v>
      </c>
      <c r="H96" s="28">
        <v>1635.43</v>
      </c>
      <c r="I96" s="22" t="s">
        <v>116</v>
      </c>
      <c r="J96" s="22" t="s">
        <v>66</v>
      </c>
      <c r="K96" s="22" t="s">
        <v>117</v>
      </c>
      <c r="L96" s="27">
        <f t="shared" si="7"/>
        <v>45808</v>
      </c>
      <c r="M96" s="29">
        <f t="shared" ca="1" si="8"/>
        <v>17</v>
      </c>
      <c r="N96" s="23">
        <f t="shared" ca="1" si="9"/>
        <v>529</v>
      </c>
      <c r="O96" s="24">
        <f t="shared" si="10"/>
        <v>0.24622553447756701</v>
      </c>
      <c r="P96" s="22" t="str">
        <f t="shared" si="11"/>
        <v>Repeat</v>
      </c>
      <c r="Q96" s="22" t="str">
        <f t="shared" si="12"/>
        <v>HEA-0525-06642</v>
      </c>
      <c r="R96" s="22" t="str">
        <f t="shared" si="13"/>
        <v>VI</v>
      </c>
      <c r="S96" s="29">
        <f>IF(AND(OR(FILTER_Demo!$B$3="All",G96=FILTER_Demo!$B$3),OR(FILTER_Demo!$B$4="All",C96=FILTER_Demo!$B$4),F96&gt;=FILTER_Demo!$B$5),1,0)</f>
        <v>0</v>
      </c>
      <c r="T96" s="29" t="str">
        <f>IF(S96=1,SUM($S$2:S96),"")</f>
        <v/>
      </c>
    </row>
    <row r="97" spans="1:20" x14ac:dyDescent="0.3">
      <c r="A97" s="22" t="s">
        <v>293</v>
      </c>
      <c r="B97" s="27">
        <v>45798</v>
      </c>
      <c r="C97" s="22" t="s">
        <v>43</v>
      </c>
      <c r="D97" s="22">
        <v>1</v>
      </c>
      <c r="E97" s="23">
        <v>3478</v>
      </c>
      <c r="F97" s="23">
        <v>3478</v>
      </c>
      <c r="G97" s="22" t="s">
        <v>55</v>
      </c>
      <c r="H97" s="28">
        <v>915.2</v>
      </c>
      <c r="I97" s="22" t="s">
        <v>144</v>
      </c>
      <c r="J97" s="22" t="s">
        <v>66</v>
      </c>
      <c r="K97" s="22" t="s">
        <v>145</v>
      </c>
      <c r="L97" s="27">
        <f t="shared" si="7"/>
        <v>45808</v>
      </c>
      <c r="M97" s="29">
        <f t="shared" ca="1" si="8"/>
        <v>17</v>
      </c>
      <c r="N97" s="23">
        <f t="shared" ca="1" si="9"/>
        <v>527</v>
      </c>
      <c r="O97" s="24">
        <f t="shared" si="10"/>
        <v>0.26313973548016101</v>
      </c>
      <c r="P97" s="22" t="str">
        <f t="shared" si="11"/>
        <v>Repeat</v>
      </c>
      <c r="Q97" s="22" t="str">
        <f t="shared" si="12"/>
        <v>HEA-0525-03478</v>
      </c>
      <c r="R97" s="22" t="str">
        <f t="shared" si="13"/>
        <v>AS</v>
      </c>
      <c r="S97" s="29">
        <f>IF(AND(OR(FILTER_Demo!$B$3="All",G97=FILTER_Demo!$B$3),OR(FILTER_Demo!$B$4="All",C97=FILTER_Demo!$B$4),F97&gt;=FILTER_Demo!$B$5),1,0)</f>
        <v>0</v>
      </c>
      <c r="T97" s="29" t="str">
        <f>IF(S97=1,SUM($S$2:S97),"")</f>
        <v/>
      </c>
    </row>
    <row r="98" spans="1:20" x14ac:dyDescent="0.3">
      <c r="A98" s="22" t="s">
        <v>294</v>
      </c>
      <c r="B98" s="27">
        <v>45802</v>
      </c>
      <c r="C98" s="22" t="s">
        <v>45</v>
      </c>
      <c r="D98" s="22">
        <v>4</v>
      </c>
      <c r="E98" s="23">
        <v>1803</v>
      </c>
      <c r="F98" s="23">
        <v>7212</v>
      </c>
      <c r="G98" s="22" t="s">
        <v>52</v>
      </c>
      <c r="H98" s="28">
        <v>2250.54</v>
      </c>
      <c r="I98" s="22" t="s">
        <v>295</v>
      </c>
      <c r="J98" s="22" t="s">
        <v>68</v>
      </c>
      <c r="K98" s="22" t="s">
        <v>296</v>
      </c>
      <c r="L98" s="27">
        <f t="shared" si="7"/>
        <v>45808</v>
      </c>
      <c r="M98" s="29">
        <f t="shared" ca="1" si="8"/>
        <v>17</v>
      </c>
      <c r="N98" s="23">
        <f t="shared" ca="1" si="9"/>
        <v>523</v>
      </c>
      <c r="O98" s="24">
        <f t="shared" si="10"/>
        <v>0.31205490848585687</v>
      </c>
      <c r="P98" s="22" t="str">
        <f t="shared" si="11"/>
        <v>Repeat</v>
      </c>
      <c r="Q98" s="22" t="str">
        <f t="shared" si="12"/>
        <v>KEY-0525-07212</v>
      </c>
      <c r="R98" s="22" t="str">
        <f t="shared" si="13"/>
        <v>AR</v>
      </c>
      <c r="S98" s="29">
        <f>IF(AND(OR(FILTER_Demo!$B$3="All",G98=FILTER_Demo!$B$3),OR(FILTER_Demo!$B$4="All",C98=FILTER_Demo!$B$4),F98&gt;=FILTER_Demo!$B$5),1,0)</f>
        <v>0</v>
      </c>
      <c r="T98" s="29" t="str">
        <f>IF(S98=1,SUM($S$2:S98),"")</f>
        <v/>
      </c>
    </row>
    <row r="99" spans="1:20" x14ac:dyDescent="0.3">
      <c r="A99" s="22" t="s">
        <v>297</v>
      </c>
      <c r="B99" s="27">
        <v>45803</v>
      </c>
      <c r="C99" s="22" t="s">
        <v>45</v>
      </c>
      <c r="D99" s="22">
        <v>2</v>
      </c>
      <c r="E99" s="23">
        <v>1706</v>
      </c>
      <c r="F99" s="23">
        <v>3412</v>
      </c>
      <c r="G99" s="22" t="s">
        <v>53</v>
      </c>
      <c r="H99" s="28">
        <v>936.32</v>
      </c>
      <c r="I99" s="22" t="s">
        <v>298</v>
      </c>
      <c r="J99" s="22" t="s">
        <v>68</v>
      </c>
      <c r="K99" s="22" t="s">
        <v>299</v>
      </c>
      <c r="L99" s="27">
        <f t="shared" si="7"/>
        <v>45808</v>
      </c>
      <c r="M99" s="29">
        <f t="shared" ca="1" si="8"/>
        <v>17</v>
      </c>
      <c r="N99" s="23">
        <f t="shared" ca="1" si="9"/>
        <v>522</v>
      </c>
      <c r="O99" s="24">
        <f t="shared" si="10"/>
        <v>0.27441969519343495</v>
      </c>
      <c r="P99" s="22" t="str">
        <f t="shared" si="11"/>
        <v>Repeat</v>
      </c>
      <c r="Q99" s="22" t="str">
        <f t="shared" si="12"/>
        <v>KEY-0525-03412</v>
      </c>
      <c r="R99" s="22" t="str">
        <f t="shared" si="13"/>
        <v>AP</v>
      </c>
      <c r="S99" s="29">
        <f>IF(AND(OR(FILTER_Demo!$B$3="All",G99=FILTER_Demo!$B$3),OR(FILTER_Demo!$B$4="All",C99=FILTER_Demo!$B$4),F99&gt;=FILTER_Demo!$B$5),1,0)</f>
        <v>0</v>
      </c>
      <c r="T99" s="29" t="str">
        <f>IF(S99=1,SUM($S$2:S99),"")</f>
        <v/>
      </c>
    </row>
    <row r="100" spans="1:20" x14ac:dyDescent="0.3">
      <c r="A100" s="22" t="s">
        <v>300</v>
      </c>
      <c r="B100" s="27">
        <v>45805</v>
      </c>
      <c r="C100" s="22" t="s">
        <v>39</v>
      </c>
      <c r="D100" s="22">
        <v>2</v>
      </c>
      <c r="E100" s="23">
        <v>19436</v>
      </c>
      <c r="F100" s="23">
        <v>38872</v>
      </c>
      <c r="G100" s="22" t="s">
        <v>55</v>
      </c>
      <c r="H100" s="28">
        <v>4918.29</v>
      </c>
      <c r="I100" s="22" t="s">
        <v>301</v>
      </c>
      <c r="J100" s="22" t="s">
        <v>64</v>
      </c>
      <c r="K100" s="22" t="s">
        <v>302</v>
      </c>
      <c r="L100" s="27">
        <f t="shared" si="7"/>
        <v>45808</v>
      </c>
      <c r="M100" s="29">
        <f t="shared" ca="1" si="8"/>
        <v>17</v>
      </c>
      <c r="N100" s="23">
        <f t="shared" ca="1" si="9"/>
        <v>520</v>
      </c>
      <c r="O100" s="24">
        <f t="shared" si="10"/>
        <v>0.12652526239967071</v>
      </c>
      <c r="P100" s="22" t="str">
        <f t="shared" si="11"/>
        <v>Repeat</v>
      </c>
      <c r="Q100" s="22" t="str">
        <f t="shared" si="12"/>
        <v>TAB-0525-38872</v>
      </c>
      <c r="R100" s="22" t="str">
        <f t="shared" si="13"/>
        <v>II</v>
      </c>
      <c r="S100" s="29">
        <f>IF(AND(OR(FILTER_Demo!$B$3="All",G100=FILTER_Demo!$B$3),OR(FILTER_Demo!$B$4="All",C100=FILTER_Demo!$B$4),F100&gt;=FILTER_Demo!$B$5),1,0)</f>
        <v>1</v>
      </c>
      <c r="T100" s="29">
        <f>IF(S100=1,SUM($S$2:S100),"")</f>
        <v>10</v>
      </c>
    </row>
    <row r="101" spans="1:20" x14ac:dyDescent="0.3">
      <c r="A101" s="22" t="s">
        <v>303</v>
      </c>
      <c r="B101" s="27">
        <v>45805</v>
      </c>
      <c r="C101" s="22" t="s">
        <v>46</v>
      </c>
      <c r="D101" s="22">
        <v>1</v>
      </c>
      <c r="E101" s="23">
        <v>911</v>
      </c>
      <c r="F101" s="23">
        <v>911</v>
      </c>
      <c r="G101" s="22" t="s">
        <v>49</v>
      </c>
      <c r="H101" s="28">
        <v>260.77999999999997</v>
      </c>
      <c r="I101" s="22" t="s">
        <v>277</v>
      </c>
      <c r="J101" s="22" t="s">
        <v>68</v>
      </c>
      <c r="K101" s="22" t="s">
        <v>278</v>
      </c>
      <c r="L101" s="27">
        <f t="shared" si="7"/>
        <v>45808</v>
      </c>
      <c r="M101" s="29">
        <f t="shared" ca="1" si="8"/>
        <v>17</v>
      </c>
      <c r="N101" s="23">
        <f t="shared" ca="1" si="9"/>
        <v>520</v>
      </c>
      <c r="O101" s="24">
        <f t="shared" si="10"/>
        <v>0.28625686059275518</v>
      </c>
      <c r="P101" s="22" t="str">
        <f t="shared" si="11"/>
        <v>Repeat</v>
      </c>
      <c r="Q101" s="22" t="str">
        <f t="shared" si="12"/>
        <v>MOU-0525-00911</v>
      </c>
      <c r="R101" s="22" t="str">
        <f t="shared" si="13"/>
        <v>IR</v>
      </c>
      <c r="S101" s="29">
        <f>IF(AND(OR(FILTER_Demo!$B$3="All",G101=FILTER_Demo!$B$3),OR(FILTER_Demo!$B$4="All",C101=FILTER_Demo!$B$4),F101&gt;=FILTER_Demo!$B$5),1,0)</f>
        <v>0</v>
      </c>
      <c r="T101" s="29" t="str">
        <f>IF(S101=1,SUM($S$2:S101),"")</f>
        <v/>
      </c>
    </row>
    <row r="102" spans="1:20" x14ac:dyDescent="0.3">
      <c r="A102" s="22" t="s">
        <v>304</v>
      </c>
      <c r="B102" s="27">
        <v>45808</v>
      </c>
      <c r="C102" s="22" t="s">
        <v>41</v>
      </c>
      <c r="D102" s="22">
        <v>2</v>
      </c>
      <c r="E102" s="23">
        <v>9274</v>
      </c>
      <c r="F102" s="23">
        <v>18548</v>
      </c>
      <c r="G102" s="22" t="s">
        <v>53</v>
      </c>
      <c r="H102" s="28">
        <v>3148.32</v>
      </c>
      <c r="I102" s="22" t="s">
        <v>255</v>
      </c>
      <c r="J102" s="22" t="s">
        <v>68</v>
      </c>
      <c r="K102" s="22" t="s">
        <v>256</v>
      </c>
      <c r="L102" s="27">
        <f t="shared" si="7"/>
        <v>45808</v>
      </c>
      <c r="M102" s="29">
        <f t="shared" ca="1" si="8"/>
        <v>16</v>
      </c>
      <c r="N102" s="23">
        <f t="shared" ca="1" si="9"/>
        <v>517</v>
      </c>
      <c r="O102" s="24">
        <f t="shared" si="10"/>
        <v>0.16973905542376538</v>
      </c>
      <c r="P102" s="22" t="str">
        <f t="shared" si="11"/>
        <v>Repeat</v>
      </c>
      <c r="Q102" s="22" t="str">
        <f t="shared" si="12"/>
        <v>PRI-0525-18548</v>
      </c>
      <c r="R102" s="22" t="str">
        <f t="shared" si="13"/>
        <v>MS</v>
      </c>
      <c r="S102" s="29">
        <f>IF(AND(OR(FILTER_Demo!$B$3="All",G102=FILTER_Demo!$B$3),OR(FILTER_Demo!$B$4="All",C102=FILTER_Demo!$B$4),F102&gt;=FILTER_Demo!$B$5),1,0)</f>
        <v>0</v>
      </c>
      <c r="T102" s="29" t="str">
        <f>IF(S102=1,SUM($S$2:S102),"")</f>
        <v/>
      </c>
    </row>
    <row r="103" spans="1:20" x14ac:dyDescent="0.3">
      <c r="A103" s="22" t="s">
        <v>305</v>
      </c>
      <c r="B103" s="27">
        <v>45808</v>
      </c>
      <c r="C103" s="22" t="s">
        <v>43</v>
      </c>
      <c r="D103" s="22">
        <v>1</v>
      </c>
      <c r="E103" s="23">
        <v>3693</v>
      </c>
      <c r="F103" s="23">
        <v>3693</v>
      </c>
      <c r="G103" s="22" t="s">
        <v>51</v>
      </c>
      <c r="H103" s="28">
        <v>907.62</v>
      </c>
      <c r="I103" s="22" t="s">
        <v>110</v>
      </c>
      <c r="J103" s="22" t="s">
        <v>65</v>
      </c>
      <c r="K103" s="22" t="s">
        <v>111</v>
      </c>
      <c r="L103" s="27">
        <f t="shared" si="7"/>
        <v>45808</v>
      </c>
      <c r="M103" s="29">
        <f t="shared" ca="1" si="8"/>
        <v>16</v>
      </c>
      <c r="N103" s="23">
        <f t="shared" ca="1" si="9"/>
        <v>517</v>
      </c>
      <c r="O103" s="24">
        <f t="shared" si="10"/>
        <v>0.2457676685621446</v>
      </c>
      <c r="P103" s="22" t="str">
        <f t="shared" si="11"/>
        <v>Repeat</v>
      </c>
      <c r="Q103" s="22" t="str">
        <f t="shared" si="12"/>
        <v>HEA-0525-03693</v>
      </c>
      <c r="R103" s="22" t="str">
        <f t="shared" si="13"/>
        <v>RS</v>
      </c>
      <c r="S103" s="29">
        <f>IF(AND(OR(FILTER_Demo!$B$3="All",G103=FILTER_Demo!$B$3),OR(FILTER_Demo!$B$4="All",C103=FILTER_Demo!$B$4),F103&gt;=FILTER_Demo!$B$5),1,0)</f>
        <v>0</v>
      </c>
      <c r="T103" s="29" t="str">
        <f>IF(S103=1,SUM($S$2:S103),"")</f>
        <v/>
      </c>
    </row>
    <row r="104" spans="1:20" x14ac:dyDescent="0.3">
      <c r="A104" s="22" t="s">
        <v>306</v>
      </c>
      <c r="B104" s="27">
        <v>45809</v>
      </c>
      <c r="C104" s="22" t="s">
        <v>43</v>
      </c>
      <c r="D104" s="22">
        <v>1</v>
      </c>
      <c r="E104" s="23">
        <v>3727</v>
      </c>
      <c r="F104" s="23">
        <v>3727</v>
      </c>
      <c r="G104" s="22" t="s">
        <v>52</v>
      </c>
      <c r="H104" s="28">
        <v>924.98</v>
      </c>
      <c r="I104" s="22" t="s">
        <v>162</v>
      </c>
      <c r="J104" s="22" t="s">
        <v>67</v>
      </c>
      <c r="K104" s="22" t="s">
        <v>163</v>
      </c>
      <c r="L104" s="27">
        <f t="shared" si="7"/>
        <v>45838</v>
      </c>
      <c r="M104" s="29">
        <f t="shared" ca="1" si="8"/>
        <v>16</v>
      </c>
      <c r="N104" s="23">
        <f t="shared" ca="1" si="9"/>
        <v>516</v>
      </c>
      <c r="O104" s="24">
        <f t="shared" si="10"/>
        <v>0.24818352562382615</v>
      </c>
      <c r="P104" s="22" t="str">
        <f t="shared" si="11"/>
        <v>Repeat</v>
      </c>
      <c r="Q104" s="22" t="str">
        <f t="shared" si="12"/>
        <v>HEA-0625-03727</v>
      </c>
      <c r="R104" s="22" t="str">
        <f t="shared" si="13"/>
        <v>IT</v>
      </c>
      <c r="S104" s="29">
        <f>IF(AND(OR(FILTER_Demo!$B$3="All",G104=FILTER_Demo!$B$3),OR(FILTER_Demo!$B$4="All",C104=FILTER_Demo!$B$4),F104&gt;=FILTER_Demo!$B$5),1,0)</f>
        <v>0</v>
      </c>
      <c r="T104" s="29" t="str">
        <f>IF(S104=1,SUM($S$2:S104),"")</f>
        <v/>
      </c>
    </row>
    <row r="105" spans="1:20" x14ac:dyDescent="0.3">
      <c r="A105" s="22" t="s">
        <v>307</v>
      </c>
      <c r="B105" s="27">
        <v>45810</v>
      </c>
      <c r="C105" s="22" t="s">
        <v>40</v>
      </c>
      <c r="D105" s="22">
        <v>3</v>
      </c>
      <c r="E105" s="23">
        <v>7809</v>
      </c>
      <c r="F105" s="23">
        <v>23427</v>
      </c>
      <c r="G105" s="22" t="s">
        <v>55</v>
      </c>
      <c r="H105" s="28">
        <v>5173.8599999999997</v>
      </c>
      <c r="I105" s="22" t="s">
        <v>92</v>
      </c>
      <c r="J105" s="22" t="s">
        <v>66</v>
      </c>
      <c r="K105" s="22" t="s">
        <v>93</v>
      </c>
      <c r="L105" s="27">
        <f t="shared" si="7"/>
        <v>45838</v>
      </c>
      <c r="M105" s="29">
        <f t="shared" ca="1" si="8"/>
        <v>16</v>
      </c>
      <c r="N105" s="23">
        <f t="shared" ca="1" si="9"/>
        <v>515</v>
      </c>
      <c r="O105" s="24">
        <f t="shared" si="10"/>
        <v>0.22085030093481878</v>
      </c>
      <c r="P105" s="22" t="str">
        <f t="shared" si="11"/>
        <v>Repeat</v>
      </c>
      <c r="Q105" s="22" t="str">
        <f t="shared" si="12"/>
        <v>SMA-0625-23427</v>
      </c>
      <c r="R105" s="22" t="str">
        <f t="shared" si="13"/>
        <v>PI</v>
      </c>
      <c r="S105" s="29">
        <f>IF(AND(OR(FILTER_Demo!$B$3="All",G105=FILTER_Demo!$B$3),OR(FILTER_Demo!$B$4="All",C105=FILTER_Demo!$B$4),F105&gt;=FILTER_Demo!$B$5),1,0)</f>
        <v>0</v>
      </c>
      <c r="T105" s="29" t="str">
        <f>IF(S105=1,SUM($S$2:S105),"")</f>
        <v/>
      </c>
    </row>
    <row r="106" spans="1:20" x14ac:dyDescent="0.3">
      <c r="A106" s="22" t="s">
        <v>308</v>
      </c>
      <c r="B106" s="27">
        <v>45814</v>
      </c>
      <c r="C106" s="22" t="s">
        <v>35</v>
      </c>
      <c r="D106" s="22">
        <v>1</v>
      </c>
      <c r="E106" s="23">
        <v>42494</v>
      </c>
      <c r="F106" s="23">
        <v>42494</v>
      </c>
      <c r="G106" s="22" t="s">
        <v>55</v>
      </c>
      <c r="H106" s="28">
        <v>6764.14</v>
      </c>
      <c r="I106" s="22" t="s">
        <v>309</v>
      </c>
      <c r="J106" s="22" t="s">
        <v>67</v>
      </c>
      <c r="K106" s="22" t="s">
        <v>310</v>
      </c>
      <c r="L106" s="27">
        <f t="shared" si="7"/>
        <v>45838</v>
      </c>
      <c r="M106" s="29">
        <f t="shared" ca="1" si="8"/>
        <v>16</v>
      </c>
      <c r="N106" s="23">
        <f t="shared" ca="1" si="9"/>
        <v>511</v>
      </c>
      <c r="O106" s="24">
        <f t="shared" si="10"/>
        <v>0.15917870758224692</v>
      </c>
      <c r="P106" s="22" t="str">
        <f t="shared" si="11"/>
        <v>Repeat</v>
      </c>
      <c r="Q106" s="22" t="str">
        <f t="shared" si="12"/>
        <v>LAP-0625-42494</v>
      </c>
      <c r="R106" s="22" t="str">
        <f t="shared" si="13"/>
        <v>DT</v>
      </c>
      <c r="S106" s="29">
        <f>IF(AND(OR(FILTER_Demo!$B$3="All",G106=FILTER_Demo!$B$3),OR(FILTER_Demo!$B$4="All",C106=FILTER_Demo!$B$4),F106&gt;=FILTER_Demo!$B$5),1,0)</f>
        <v>0</v>
      </c>
      <c r="T106" s="29" t="str">
        <f>IF(S106=1,SUM($S$2:S106),"")</f>
        <v/>
      </c>
    </row>
    <row r="107" spans="1:20" x14ac:dyDescent="0.3">
      <c r="A107" s="22" t="s">
        <v>311</v>
      </c>
      <c r="B107" s="27">
        <v>45815</v>
      </c>
      <c r="C107" s="22" t="s">
        <v>35</v>
      </c>
      <c r="D107" s="22">
        <v>1</v>
      </c>
      <c r="E107" s="23">
        <v>43767</v>
      </c>
      <c r="F107" s="23">
        <v>43767</v>
      </c>
      <c r="G107" s="22" t="s">
        <v>51</v>
      </c>
      <c r="H107" s="28">
        <v>8251.49</v>
      </c>
      <c r="I107" s="22" t="s">
        <v>144</v>
      </c>
      <c r="J107" s="22" t="s">
        <v>65</v>
      </c>
      <c r="K107" s="22" t="s">
        <v>145</v>
      </c>
      <c r="L107" s="27">
        <f t="shared" si="7"/>
        <v>45838</v>
      </c>
      <c r="M107" s="29">
        <f t="shared" ca="1" si="8"/>
        <v>16</v>
      </c>
      <c r="N107" s="23">
        <f t="shared" ca="1" si="9"/>
        <v>510</v>
      </c>
      <c r="O107" s="24">
        <f t="shared" si="10"/>
        <v>0.18853222747732309</v>
      </c>
      <c r="P107" s="22" t="str">
        <f t="shared" si="11"/>
        <v>Repeat</v>
      </c>
      <c r="Q107" s="22" t="str">
        <f t="shared" si="12"/>
        <v>LAP-0625-43767</v>
      </c>
      <c r="R107" s="22" t="str">
        <f t="shared" si="13"/>
        <v>AS</v>
      </c>
      <c r="S107" s="29">
        <f>IF(AND(OR(FILTER_Demo!$B$3="All",G107=FILTER_Demo!$B$3),OR(FILTER_Demo!$B$4="All",C107=FILTER_Demo!$B$4),F107&gt;=FILTER_Demo!$B$5),1,0)</f>
        <v>0</v>
      </c>
      <c r="T107" s="29" t="str">
        <f>IF(S107=1,SUM($S$2:S107),"")</f>
        <v/>
      </c>
    </row>
    <row r="108" spans="1:20" x14ac:dyDescent="0.3">
      <c r="A108" s="22" t="s">
        <v>312</v>
      </c>
      <c r="B108" s="27">
        <v>45821</v>
      </c>
      <c r="C108" s="22" t="s">
        <v>38</v>
      </c>
      <c r="D108" s="22">
        <v>1</v>
      </c>
      <c r="E108" s="23">
        <v>11486</v>
      </c>
      <c r="F108" s="23">
        <v>11486</v>
      </c>
      <c r="G108" s="22" t="s">
        <v>55</v>
      </c>
      <c r="H108" s="28">
        <v>1460.69</v>
      </c>
      <c r="I108" s="22" t="s">
        <v>138</v>
      </c>
      <c r="J108" s="22" t="s">
        <v>65</v>
      </c>
      <c r="K108" s="22" t="s">
        <v>139</v>
      </c>
      <c r="L108" s="27">
        <f t="shared" si="7"/>
        <v>45838</v>
      </c>
      <c r="M108" s="29">
        <f t="shared" ca="1" si="8"/>
        <v>16</v>
      </c>
      <c r="N108" s="23">
        <f t="shared" ca="1" si="9"/>
        <v>504</v>
      </c>
      <c r="O108" s="24">
        <f t="shared" si="10"/>
        <v>0.12717133902141739</v>
      </c>
      <c r="P108" s="22" t="str">
        <f t="shared" si="11"/>
        <v>Repeat</v>
      </c>
      <c r="Q108" s="22" t="str">
        <f t="shared" si="12"/>
        <v>MON-0625-11486</v>
      </c>
      <c r="R108" s="22" t="str">
        <f t="shared" si="13"/>
        <v>NM</v>
      </c>
      <c r="S108" s="29">
        <f>IF(AND(OR(FILTER_Demo!$B$3="All",G108=FILTER_Demo!$B$3),OR(FILTER_Demo!$B$4="All",C108=FILTER_Demo!$B$4),F108&gt;=FILTER_Demo!$B$5),1,0)</f>
        <v>0</v>
      </c>
      <c r="T108" s="29" t="str">
        <f>IF(S108=1,SUM($S$2:S108),"")</f>
        <v/>
      </c>
    </row>
    <row r="109" spans="1:20" x14ac:dyDescent="0.3">
      <c r="A109" s="22" t="s">
        <v>313</v>
      </c>
      <c r="B109" s="27">
        <v>45821</v>
      </c>
      <c r="C109" s="22" t="s">
        <v>38</v>
      </c>
      <c r="D109" s="22">
        <v>5</v>
      </c>
      <c r="E109" s="23">
        <v>12745</v>
      </c>
      <c r="F109" s="23">
        <v>63725</v>
      </c>
      <c r="G109" s="22" t="s">
        <v>52</v>
      </c>
      <c r="H109" s="28">
        <v>12538.28</v>
      </c>
      <c r="I109" s="22" t="s">
        <v>314</v>
      </c>
      <c r="J109" s="22" t="s">
        <v>68</v>
      </c>
      <c r="K109" s="22" t="s">
        <v>315</v>
      </c>
      <c r="L109" s="27">
        <f t="shared" si="7"/>
        <v>45838</v>
      </c>
      <c r="M109" s="29">
        <f t="shared" ca="1" si="8"/>
        <v>16</v>
      </c>
      <c r="N109" s="23">
        <f t="shared" ca="1" si="9"/>
        <v>504</v>
      </c>
      <c r="O109" s="24">
        <f t="shared" si="10"/>
        <v>0.19675606120047079</v>
      </c>
      <c r="P109" s="22" t="str">
        <f t="shared" si="11"/>
        <v>Repeat</v>
      </c>
      <c r="Q109" s="22" t="str">
        <f t="shared" si="12"/>
        <v>MON-0625-63725</v>
      </c>
      <c r="R109" s="22" t="str">
        <f t="shared" si="13"/>
        <v>SR</v>
      </c>
      <c r="S109" s="29">
        <f>IF(AND(OR(FILTER_Demo!$B$3="All",G109=FILTER_Demo!$B$3),OR(FILTER_Demo!$B$4="All",C109=FILTER_Demo!$B$4),F109&gt;=FILTER_Demo!$B$5),1,0)</f>
        <v>0</v>
      </c>
      <c r="T109" s="29" t="str">
        <f>IF(S109=1,SUM($S$2:S109),"")</f>
        <v/>
      </c>
    </row>
    <row r="110" spans="1:20" x14ac:dyDescent="0.3">
      <c r="A110" s="22" t="s">
        <v>316</v>
      </c>
      <c r="B110" s="27">
        <v>45824</v>
      </c>
      <c r="C110" s="22" t="s">
        <v>46</v>
      </c>
      <c r="D110" s="22">
        <v>1</v>
      </c>
      <c r="E110" s="23">
        <v>838</v>
      </c>
      <c r="F110" s="23">
        <v>838</v>
      </c>
      <c r="G110" s="22" t="s">
        <v>55</v>
      </c>
      <c r="H110" s="28">
        <v>235.62</v>
      </c>
      <c r="I110" s="22" t="s">
        <v>317</v>
      </c>
      <c r="J110" s="22" t="s">
        <v>64</v>
      </c>
      <c r="K110" s="22" t="s">
        <v>318</v>
      </c>
      <c r="L110" s="27">
        <f t="shared" si="7"/>
        <v>45838</v>
      </c>
      <c r="M110" s="29">
        <f t="shared" ca="1" si="8"/>
        <v>16</v>
      </c>
      <c r="N110" s="23">
        <f t="shared" ca="1" si="9"/>
        <v>501</v>
      </c>
      <c r="O110" s="24">
        <f t="shared" si="10"/>
        <v>0.28116945107398567</v>
      </c>
      <c r="P110" s="22" t="str">
        <f t="shared" si="11"/>
        <v>Repeat</v>
      </c>
      <c r="Q110" s="22" t="str">
        <f t="shared" si="12"/>
        <v>MOU-0625-00838</v>
      </c>
      <c r="R110" s="22" t="str">
        <f t="shared" si="13"/>
        <v>RS</v>
      </c>
      <c r="S110" s="29">
        <f>IF(AND(OR(FILTER_Demo!$B$3="All",G110=FILTER_Demo!$B$3),OR(FILTER_Demo!$B$4="All",C110=FILTER_Demo!$B$4),F110&gt;=FILTER_Demo!$B$5),1,0)</f>
        <v>0</v>
      </c>
      <c r="T110" s="29" t="str">
        <f>IF(S110=1,SUM($S$2:S110),"")</f>
        <v/>
      </c>
    </row>
    <row r="111" spans="1:20" x14ac:dyDescent="0.3">
      <c r="A111" s="22" t="s">
        <v>319</v>
      </c>
      <c r="B111" s="27">
        <v>45826</v>
      </c>
      <c r="C111" s="22" t="s">
        <v>45</v>
      </c>
      <c r="D111" s="22">
        <v>2</v>
      </c>
      <c r="E111" s="23">
        <v>1763</v>
      </c>
      <c r="F111" s="23">
        <v>3526</v>
      </c>
      <c r="G111" s="22" t="s">
        <v>55</v>
      </c>
      <c r="H111" s="28">
        <v>839.3</v>
      </c>
      <c r="I111" s="22" t="s">
        <v>270</v>
      </c>
      <c r="J111" s="22" t="s">
        <v>66</v>
      </c>
      <c r="K111" s="22" t="s">
        <v>271</v>
      </c>
      <c r="L111" s="27">
        <f t="shared" si="7"/>
        <v>45838</v>
      </c>
      <c r="M111" s="29">
        <f t="shared" ca="1" si="8"/>
        <v>16</v>
      </c>
      <c r="N111" s="23">
        <f t="shared" ca="1" si="9"/>
        <v>499</v>
      </c>
      <c r="O111" s="24">
        <f t="shared" si="10"/>
        <v>0.2380317640385706</v>
      </c>
      <c r="P111" s="22" t="str">
        <f t="shared" si="11"/>
        <v>Repeat</v>
      </c>
      <c r="Q111" s="22" t="str">
        <f t="shared" si="12"/>
        <v>KEY-0625-03526</v>
      </c>
      <c r="R111" s="22" t="str">
        <f t="shared" si="13"/>
        <v>RS</v>
      </c>
      <c r="S111" s="29">
        <f>IF(AND(OR(FILTER_Demo!$B$3="All",G111=FILTER_Demo!$B$3),OR(FILTER_Demo!$B$4="All",C111=FILTER_Demo!$B$4),F111&gt;=FILTER_Demo!$B$5),1,0)</f>
        <v>0</v>
      </c>
      <c r="T111" s="29" t="str">
        <f>IF(S111=1,SUM($S$2:S111),"")</f>
        <v/>
      </c>
    </row>
    <row r="112" spans="1:20" x14ac:dyDescent="0.3">
      <c r="A112" s="22" t="s">
        <v>320</v>
      </c>
      <c r="B112" s="27">
        <v>45827</v>
      </c>
      <c r="C112" s="22" t="s">
        <v>40</v>
      </c>
      <c r="D112" s="22">
        <v>1</v>
      </c>
      <c r="E112" s="23">
        <v>7312</v>
      </c>
      <c r="F112" s="23">
        <v>7312</v>
      </c>
      <c r="G112" s="22" t="s">
        <v>55</v>
      </c>
      <c r="H112" s="28">
        <v>1436.25</v>
      </c>
      <c r="I112" s="22" t="s">
        <v>321</v>
      </c>
      <c r="J112" s="22" t="s">
        <v>64</v>
      </c>
      <c r="K112" s="22" t="s">
        <v>322</v>
      </c>
      <c r="L112" s="27">
        <f t="shared" si="7"/>
        <v>45838</v>
      </c>
      <c r="M112" s="29">
        <f t="shared" ca="1" si="8"/>
        <v>16</v>
      </c>
      <c r="N112" s="23">
        <f t="shared" ca="1" si="9"/>
        <v>498</v>
      </c>
      <c r="O112" s="24">
        <f t="shared" si="10"/>
        <v>0.19642368708971553</v>
      </c>
      <c r="P112" s="22" t="str">
        <f t="shared" si="11"/>
        <v>Repeat</v>
      </c>
      <c r="Q112" s="22" t="str">
        <f t="shared" si="12"/>
        <v>SMA-0625-07312</v>
      </c>
      <c r="R112" s="22" t="str">
        <f t="shared" si="13"/>
        <v>RD</v>
      </c>
      <c r="S112" s="29">
        <f>IF(AND(OR(FILTER_Demo!$B$3="All",G112=FILTER_Demo!$B$3),OR(FILTER_Demo!$B$4="All",C112=FILTER_Demo!$B$4),F112&gt;=FILTER_Demo!$B$5),1,0)</f>
        <v>0</v>
      </c>
      <c r="T112" s="29" t="str">
        <f>IF(S112=1,SUM($S$2:S112),"")</f>
        <v/>
      </c>
    </row>
    <row r="113" spans="1:20" x14ac:dyDescent="0.3">
      <c r="A113" s="22" t="s">
        <v>323</v>
      </c>
      <c r="B113" s="27">
        <v>45827</v>
      </c>
      <c r="C113" s="22" t="s">
        <v>41</v>
      </c>
      <c r="D113" s="22">
        <v>2</v>
      </c>
      <c r="E113" s="23">
        <v>9358</v>
      </c>
      <c r="F113" s="23">
        <v>18716</v>
      </c>
      <c r="G113" s="22" t="s">
        <v>52</v>
      </c>
      <c r="H113" s="28">
        <v>3454.85</v>
      </c>
      <c r="I113" s="22" t="s">
        <v>204</v>
      </c>
      <c r="J113" s="22" t="s">
        <v>66</v>
      </c>
      <c r="K113" s="22" t="s">
        <v>205</v>
      </c>
      <c r="L113" s="27">
        <f t="shared" si="7"/>
        <v>45838</v>
      </c>
      <c r="M113" s="29">
        <f t="shared" ca="1" si="8"/>
        <v>16</v>
      </c>
      <c r="N113" s="23">
        <f t="shared" ca="1" si="9"/>
        <v>498</v>
      </c>
      <c r="O113" s="24">
        <f t="shared" si="10"/>
        <v>0.18459339602479161</v>
      </c>
      <c r="P113" s="22" t="str">
        <f t="shared" si="11"/>
        <v>Repeat</v>
      </c>
      <c r="Q113" s="22" t="str">
        <f t="shared" si="12"/>
        <v>PRI-0625-18716</v>
      </c>
      <c r="R113" s="22" t="str">
        <f t="shared" si="13"/>
        <v>AI</v>
      </c>
      <c r="S113" s="29">
        <f>IF(AND(OR(FILTER_Demo!$B$3="All",G113=FILTER_Demo!$B$3),OR(FILTER_Demo!$B$4="All",C113=FILTER_Demo!$B$4),F113&gt;=FILTER_Demo!$B$5),1,0)</f>
        <v>0</v>
      </c>
      <c r="T113" s="29" t="str">
        <f>IF(S113=1,SUM($S$2:S113),"")</f>
        <v/>
      </c>
    </row>
    <row r="114" spans="1:20" x14ac:dyDescent="0.3">
      <c r="A114" s="22" t="s">
        <v>324</v>
      </c>
      <c r="B114" s="27">
        <v>45828</v>
      </c>
      <c r="C114" s="22" t="s">
        <v>38</v>
      </c>
      <c r="D114" s="22">
        <v>3</v>
      </c>
      <c r="E114" s="23">
        <v>11872</v>
      </c>
      <c r="F114" s="23">
        <v>35616</v>
      </c>
      <c r="G114" s="22" t="s">
        <v>55</v>
      </c>
      <c r="H114" s="28">
        <v>5286.63</v>
      </c>
      <c r="I114" s="22" t="s">
        <v>148</v>
      </c>
      <c r="J114" s="22" t="s">
        <v>67</v>
      </c>
      <c r="K114" s="22" t="s">
        <v>149</v>
      </c>
      <c r="L114" s="27">
        <f t="shared" si="7"/>
        <v>45838</v>
      </c>
      <c r="M114" s="29">
        <f t="shared" ca="1" si="8"/>
        <v>16</v>
      </c>
      <c r="N114" s="23">
        <f t="shared" ca="1" si="9"/>
        <v>497</v>
      </c>
      <c r="O114" s="24">
        <f t="shared" si="10"/>
        <v>0.14843413072776282</v>
      </c>
      <c r="P114" s="22" t="str">
        <f t="shared" si="11"/>
        <v>Repeat</v>
      </c>
      <c r="Q114" s="22" t="str">
        <f t="shared" si="12"/>
        <v>MON-0625-35616</v>
      </c>
      <c r="R114" s="22" t="str">
        <f t="shared" si="13"/>
        <v>KP</v>
      </c>
      <c r="S114" s="29">
        <f>IF(AND(OR(FILTER_Demo!$B$3="All",G114=FILTER_Demo!$B$3),OR(FILTER_Demo!$B$4="All",C114=FILTER_Demo!$B$4),F114&gt;=FILTER_Demo!$B$5),1,0)</f>
        <v>0</v>
      </c>
      <c r="T114" s="29" t="str">
        <f>IF(S114=1,SUM($S$2:S114),"")</f>
        <v/>
      </c>
    </row>
    <row r="115" spans="1:20" x14ac:dyDescent="0.3">
      <c r="A115" s="22" t="s">
        <v>325</v>
      </c>
      <c r="B115" s="27">
        <v>45828</v>
      </c>
      <c r="C115" s="22" t="s">
        <v>41</v>
      </c>
      <c r="D115" s="22">
        <v>1</v>
      </c>
      <c r="E115" s="23">
        <v>8626</v>
      </c>
      <c r="F115" s="23">
        <v>8626</v>
      </c>
      <c r="G115" s="22" t="s">
        <v>53</v>
      </c>
      <c r="H115" s="28">
        <v>982.43</v>
      </c>
      <c r="I115" s="22" t="s">
        <v>135</v>
      </c>
      <c r="J115" s="22" t="s">
        <v>67</v>
      </c>
      <c r="K115" s="22" t="s">
        <v>136</v>
      </c>
      <c r="L115" s="27">
        <f t="shared" si="7"/>
        <v>45838</v>
      </c>
      <c r="M115" s="29">
        <f t="shared" ca="1" si="8"/>
        <v>16</v>
      </c>
      <c r="N115" s="23">
        <f t="shared" ca="1" si="9"/>
        <v>497</v>
      </c>
      <c r="O115" s="24">
        <f t="shared" si="10"/>
        <v>0.11389172269881752</v>
      </c>
      <c r="P115" s="22" t="str">
        <f t="shared" si="11"/>
        <v>Repeat</v>
      </c>
      <c r="Q115" s="22" t="str">
        <f t="shared" si="12"/>
        <v>PRI-0625-08626</v>
      </c>
      <c r="R115" s="22" t="str">
        <f t="shared" si="13"/>
        <v>SM</v>
      </c>
      <c r="S115" s="29">
        <f>IF(AND(OR(FILTER_Demo!$B$3="All",G115=FILTER_Demo!$B$3),OR(FILTER_Demo!$B$4="All",C115=FILTER_Demo!$B$4),F115&gt;=FILTER_Demo!$B$5),1,0)</f>
        <v>0</v>
      </c>
      <c r="T115" s="29" t="str">
        <f>IF(S115=1,SUM($S$2:S115),"")</f>
        <v/>
      </c>
    </row>
    <row r="116" spans="1:20" x14ac:dyDescent="0.3">
      <c r="A116" s="22" t="s">
        <v>326</v>
      </c>
      <c r="B116" s="27">
        <v>45831</v>
      </c>
      <c r="C116" s="22" t="s">
        <v>43</v>
      </c>
      <c r="D116" s="22">
        <v>1</v>
      </c>
      <c r="E116" s="23">
        <v>3793</v>
      </c>
      <c r="F116" s="23">
        <v>3793</v>
      </c>
      <c r="G116" s="22" t="s">
        <v>55</v>
      </c>
      <c r="H116" s="28">
        <v>905.55</v>
      </c>
      <c r="I116" s="22" t="s">
        <v>244</v>
      </c>
      <c r="J116" s="22" t="s">
        <v>66</v>
      </c>
      <c r="K116" s="22" t="s">
        <v>245</v>
      </c>
      <c r="L116" s="27">
        <f t="shared" si="7"/>
        <v>45838</v>
      </c>
      <c r="M116" s="29">
        <f t="shared" ca="1" si="8"/>
        <v>16</v>
      </c>
      <c r="N116" s="23">
        <f t="shared" ca="1" si="9"/>
        <v>494</v>
      </c>
      <c r="O116" s="24">
        <f t="shared" si="10"/>
        <v>0.23874242024782494</v>
      </c>
      <c r="P116" s="22" t="str">
        <f t="shared" si="11"/>
        <v>Repeat</v>
      </c>
      <c r="Q116" s="22" t="str">
        <f t="shared" si="12"/>
        <v>HEA-0625-03793</v>
      </c>
      <c r="R116" s="22" t="str">
        <f t="shared" si="13"/>
        <v>RS</v>
      </c>
      <c r="S116" s="29">
        <f>IF(AND(OR(FILTER_Demo!$B$3="All",G116=FILTER_Demo!$B$3),OR(FILTER_Demo!$B$4="All",C116=FILTER_Demo!$B$4),F116&gt;=FILTER_Demo!$B$5),1,0)</f>
        <v>0</v>
      </c>
      <c r="T116" s="29" t="str">
        <f>IF(S116=1,SUM($S$2:S116),"")</f>
        <v/>
      </c>
    </row>
    <row r="117" spans="1:20" x14ac:dyDescent="0.3">
      <c r="A117" s="22" t="s">
        <v>327</v>
      </c>
      <c r="B117" s="27">
        <v>45834</v>
      </c>
      <c r="C117" s="22" t="s">
        <v>45</v>
      </c>
      <c r="D117" s="22">
        <v>2</v>
      </c>
      <c r="E117" s="23">
        <v>1782</v>
      </c>
      <c r="F117" s="23">
        <v>3564</v>
      </c>
      <c r="G117" s="22" t="s">
        <v>51</v>
      </c>
      <c r="H117" s="28">
        <v>1062.1099999999999</v>
      </c>
      <c r="I117" s="22" t="s">
        <v>328</v>
      </c>
      <c r="J117" s="22" t="s">
        <v>68</v>
      </c>
      <c r="K117" s="22" t="s">
        <v>329</v>
      </c>
      <c r="L117" s="27">
        <f t="shared" si="7"/>
        <v>45838</v>
      </c>
      <c r="M117" s="29">
        <f t="shared" ca="1" si="8"/>
        <v>16</v>
      </c>
      <c r="N117" s="23">
        <f t="shared" ca="1" si="9"/>
        <v>491</v>
      </c>
      <c r="O117" s="24">
        <f t="shared" si="10"/>
        <v>0.2980106621773288</v>
      </c>
      <c r="P117" s="22" t="str">
        <f t="shared" si="11"/>
        <v>Repeat</v>
      </c>
      <c r="Q117" s="22" t="str">
        <f t="shared" si="12"/>
        <v>KEY-0625-03564</v>
      </c>
      <c r="R117" s="22" t="str">
        <f t="shared" si="13"/>
        <v>NG</v>
      </c>
      <c r="S117" s="29">
        <f>IF(AND(OR(FILTER_Demo!$B$3="All",G117=FILTER_Demo!$B$3),OR(FILTER_Demo!$B$4="All",C117=FILTER_Demo!$B$4),F117&gt;=FILTER_Demo!$B$5),1,0)</f>
        <v>0</v>
      </c>
      <c r="T117" s="29" t="str">
        <f>IF(S117=1,SUM($S$2:S117),"")</f>
        <v/>
      </c>
    </row>
    <row r="118" spans="1:20" x14ac:dyDescent="0.3">
      <c r="A118" s="22" t="s">
        <v>330</v>
      </c>
      <c r="B118" s="27">
        <v>45834</v>
      </c>
      <c r="C118" s="22" t="s">
        <v>43</v>
      </c>
      <c r="D118" s="22">
        <v>1</v>
      </c>
      <c r="E118" s="23">
        <v>3653</v>
      </c>
      <c r="F118" s="23">
        <v>3653</v>
      </c>
      <c r="G118" s="22" t="s">
        <v>53</v>
      </c>
      <c r="H118" s="28">
        <v>998.8</v>
      </c>
      <c r="I118" s="22" t="s">
        <v>151</v>
      </c>
      <c r="J118" s="22" t="s">
        <v>66</v>
      </c>
      <c r="K118" s="22" t="s">
        <v>152</v>
      </c>
      <c r="L118" s="27">
        <f t="shared" si="7"/>
        <v>45838</v>
      </c>
      <c r="M118" s="29">
        <f t="shared" ca="1" si="8"/>
        <v>16</v>
      </c>
      <c r="N118" s="23">
        <f t="shared" ca="1" si="9"/>
        <v>491</v>
      </c>
      <c r="O118" s="24">
        <f t="shared" si="10"/>
        <v>0.27341910758280863</v>
      </c>
      <c r="P118" s="22" t="str">
        <f t="shared" si="11"/>
        <v>Repeat</v>
      </c>
      <c r="Q118" s="22" t="str">
        <f t="shared" si="12"/>
        <v>HEA-0625-03653</v>
      </c>
      <c r="R118" s="22" t="str">
        <f t="shared" si="13"/>
        <v>AM</v>
      </c>
      <c r="S118" s="29">
        <f>IF(AND(OR(FILTER_Demo!$B$3="All",G118=FILTER_Demo!$B$3),OR(FILTER_Demo!$B$4="All",C118=FILTER_Demo!$B$4),F118&gt;=FILTER_Demo!$B$5),1,0)</f>
        <v>0</v>
      </c>
      <c r="T118" s="29" t="str">
        <f>IF(S118=1,SUM($S$2:S118),"")</f>
        <v/>
      </c>
    </row>
    <row r="119" spans="1:20" x14ac:dyDescent="0.3">
      <c r="A119" s="22" t="s">
        <v>331</v>
      </c>
      <c r="B119" s="27">
        <v>45835</v>
      </c>
      <c r="C119" s="22" t="s">
        <v>39</v>
      </c>
      <c r="D119" s="22">
        <v>1</v>
      </c>
      <c r="E119" s="23">
        <v>17362</v>
      </c>
      <c r="F119" s="23">
        <v>17362</v>
      </c>
      <c r="G119" s="22" t="s">
        <v>55</v>
      </c>
      <c r="H119" s="28">
        <v>2620.5</v>
      </c>
      <c r="I119" s="22" t="s">
        <v>235</v>
      </c>
      <c r="J119" s="22" t="s">
        <v>64</v>
      </c>
      <c r="K119" s="22" t="s">
        <v>236</v>
      </c>
      <c r="L119" s="27">
        <f t="shared" si="7"/>
        <v>45838</v>
      </c>
      <c r="M119" s="29">
        <f t="shared" ca="1" si="8"/>
        <v>16</v>
      </c>
      <c r="N119" s="23">
        <f t="shared" ca="1" si="9"/>
        <v>490</v>
      </c>
      <c r="O119" s="24">
        <f t="shared" si="10"/>
        <v>0.15093307222670199</v>
      </c>
      <c r="P119" s="22" t="str">
        <f t="shared" si="11"/>
        <v>Repeat</v>
      </c>
      <c r="Q119" s="22" t="str">
        <f t="shared" si="12"/>
        <v>TAB-0625-17362</v>
      </c>
      <c r="R119" s="22" t="str">
        <f t="shared" si="13"/>
        <v>RD</v>
      </c>
      <c r="S119" s="29">
        <f>IF(AND(OR(FILTER_Demo!$B$3="All",G119=FILTER_Demo!$B$3),OR(FILTER_Demo!$B$4="All",C119=FILTER_Demo!$B$4),F119&gt;=FILTER_Demo!$B$5),1,0)</f>
        <v>1</v>
      </c>
      <c r="T119" s="29">
        <f>IF(S119=1,SUM($S$2:S119),"")</f>
        <v>11</v>
      </c>
    </row>
    <row r="120" spans="1:20" x14ac:dyDescent="0.3">
      <c r="A120" s="22" t="s">
        <v>332</v>
      </c>
      <c r="B120" s="27">
        <v>45837</v>
      </c>
      <c r="C120" s="22" t="s">
        <v>45</v>
      </c>
      <c r="D120" s="22">
        <v>1</v>
      </c>
      <c r="E120" s="23">
        <v>1645</v>
      </c>
      <c r="F120" s="23">
        <v>1645</v>
      </c>
      <c r="G120" s="22" t="s">
        <v>55</v>
      </c>
      <c r="H120" s="28">
        <v>505.56</v>
      </c>
      <c r="I120" s="22" t="s">
        <v>141</v>
      </c>
      <c r="J120" s="22" t="s">
        <v>68</v>
      </c>
      <c r="K120" s="22" t="s">
        <v>142</v>
      </c>
      <c r="L120" s="27">
        <f t="shared" si="7"/>
        <v>45838</v>
      </c>
      <c r="M120" s="29">
        <f t="shared" ca="1" si="8"/>
        <v>16</v>
      </c>
      <c r="N120" s="23">
        <f t="shared" ca="1" si="9"/>
        <v>488</v>
      </c>
      <c r="O120" s="24">
        <f t="shared" si="10"/>
        <v>0.30733130699088146</v>
      </c>
      <c r="P120" s="22" t="str">
        <f t="shared" si="11"/>
        <v>Repeat</v>
      </c>
      <c r="Q120" s="22" t="str">
        <f t="shared" si="12"/>
        <v>KEY-0625-01645</v>
      </c>
      <c r="R120" s="22" t="str">
        <f t="shared" si="13"/>
        <v>MT</v>
      </c>
      <c r="S120" s="29">
        <f>IF(AND(OR(FILTER_Demo!$B$3="All",G120=FILTER_Demo!$B$3),OR(FILTER_Demo!$B$4="All",C120=FILTER_Demo!$B$4),F120&gt;=FILTER_Demo!$B$5),1,0)</f>
        <v>0</v>
      </c>
      <c r="T120" s="29" t="str">
        <f>IF(S120=1,SUM($S$2:S120),"")</f>
        <v/>
      </c>
    </row>
    <row r="121" spans="1:20" x14ac:dyDescent="0.3">
      <c r="A121" s="22" t="s">
        <v>333</v>
      </c>
      <c r="B121" s="27">
        <v>45837</v>
      </c>
      <c r="C121" s="22" t="s">
        <v>36</v>
      </c>
      <c r="D121" s="22">
        <v>1</v>
      </c>
      <c r="E121" s="23">
        <v>23096</v>
      </c>
      <c r="F121" s="23">
        <v>23096</v>
      </c>
      <c r="G121" s="22" t="s">
        <v>51</v>
      </c>
      <c r="H121" s="28">
        <v>1737.02</v>
      </c>
      <c r="I121" s="22" t="s">
        <v>314</v>
      </c>
      <c r="J121" s="22" t="s">
        <v>64</v>
      </c>
      <c r="K121" s="22" t="s">
        <v>315</v>
      </c>
      <c r="L121" s="27">
        <f t="shared" si="7"/>
        <v>45838</v>
      </c>
      <c r="M121" s="29">
        <f t="shared" ca="1" si="8"/>
        <v>16</v>
      </c>
      <c r="N121" s="23">
        <f t="shared" ca="1" si="9"/>
        <v>488</v>
      </c>
      <c r="O121" s="24">
        <f t="shared" si="10"/>
        <v>7.5208694146172497E-2</v>
      </c>
      <c r="P121" s="22" t="str">
        <f t="shared" si="11"/>
        <v>Repeat</v>
      </c>
      <c r="Q121" s="22" t="str">
        <f t="shared" si="12"/>
        <v>SMA-0625-23096</v>
      </c>
      <c r="R121" s="22" t="str">
        <f t="shared" si="13"/>
        <v>SR</v>
      </c>
      <c r="S121" s="29">
        <f>IF(AND(OR(FILTER_Demo!$B$3="All",G121=FILTER_Demo!$B$3),OR(FILTER_Demo!$B$4="All",C121=FILTER_Demo!$B$4),F121&gt;=FILTER_Demo!$B$5),1,0)</f>
        <v>0</v>
      </c>
      <c r="T121" s="29" t="str">
        <f>IF(S121=1,SUM($S$2:S121),"")</f>
        <v/>
      </c>
    </row>
    <row r="122" spans="1:20" x14ac:dyDescent="0.3">
      <c r="A122" s="22" t="s">
        <v>334</v>
      </c>
      <c r="B122" s="27">
        <v>45838</v>
      </c>
      <c r="C122" s="22" t="s">
        <v>40</v>
      </c>
      <c r="D122" s="22">
        <v>2</v>
      </c>
      <c r="E122" s="23">
        <v>7666</v>
      </c>
      <c r="F122" s="23">
        <v>15332</v>
      </c>
      <c r="G122" s="22" t="s">
        <v>51</v>
      </c>
      <c r="H122" s="28">
        <v>1995.56</v>
      </c>
      <c r="I122" s="22" t="s">
        <v>101</v>
      </c>
      <c r="J122" s="22" t="s">
        <v>67</v>
      </c>
      <c r="K122" s="22" t="s">
        <v>102</v>
      </c>
      <c r="L122" s="27">
        <f t="shared" si="7"/>
        <v>45838</v>
      </c>
      <c r="M122" s="29">
        <f t="shared" ca="1" si="8"/>
        <v>16</v>
      </c>
      <c r="N122" s="23">
        <f t="shared" ca="1" si="9"/>
        <v>487</v>
      </c>
      <c r="O122" s="24">
        <f t="shared" si="10"/>
        <v>0.13015653535090008</v>
      </c>
      <c r="P122" s="22" t="str">
        <f t="shared" si="11"/>
        <v>Repeat</v>
      </c>
      <c r="Q122" s="22" t="str">
        <f t="shared" si="12"/>
        <v>SMA-0625-15332</v>
      </c>
      <c r="R122" s="22" t="str">
        <f t="shared" si="13"/>
        <v>AB</v>
      </c>
      <c r="S122" s="29">
        <f>IF(AND(OR(FILTER_Demo!$B$3="All",G122=FILTER_Demo!$B$3),OR(FILTER_Demo!$B$4="All",C122=FILTER_Demo!$B$4),F122&gt;=FILTER_Demo!$B$5),1,0)</f>
        <v>0</v>
      </c>
      <c r="T122" s="29" t="str">
        <f>IF(S122=1,SUM($S$2:S122),"")</f>
        <v/>
      </c>
    </row>
    <row r="123" spans="1:20" x14ac:dyDescent="0.3">
      <c r="A123" s="22" t="s">
        <v>335</v>
      </c>
      <c r="B123" s="27">
        <v>45843</v>
      </c>
      <c r="C123" s="22" t="s">
        <v>41</v>
      </c>
      <c r="D123" s="22">
        <v>1</v>
      </c>
      <c r="E123" s="23">
        <v>9744</v>
      </c>
      <c r="F123" s="23">
        <v>9744</v>
      </c>
      <c r="G123" s="22" t="s">
        <v>55</v>
      </c>
      <c r="H123" s="28">
        <v>1934.62</v>
      </c>
      <c r="I123" s="22" t="s">
        <v>266</v>
      </c>
      <c r="J123" s="22" t="s">
        <v>64</v>
      </c>
      <c r="K123" s="22" t="s">
        <v>267</v>
      </c>
      <c r="L123" s="27">
        <f t="shared" si="7"/>
        <v>45869</v>
      </c>
      <c r="M123" s="29">
        <f t="shared" ca="1" si="8"/>
        <v>15</v>
      </c>
      <c r="N123" s="23">
        <f t="shared" ca="1" si="9"/>
        <v>482</v>
      </c>
      <c r="O123" s="24">
        <f t="shared" si="10"/>
        <v>0.19854474548440065</v>
      </c>
      <c r="P123" s="22" t="str">
        <f t="shared" si="11"/>
        <v>Repeat</v>
      </c>
      <c r="Q123" s="22" t="str">
        <f t="shared" si="12"/>
        <v>PRI-0725-09744</v>
      </c>
      <c r="R123" s="22" t="str">
        <f t="shared" si="13"/>
        <v>AS</v>
      </c>
      <c r="S123" s="29">
        <f>IF(AND(OR(FILTER_Demo!$B$3="All",G123=FILTER_Demo!$B$3),OR(FILTER_Demo!$B$4="All",C123=FILTER_Demo!$B$4),F123&gt;=FILTER_Demo!$B$5),1,0)</f>
        <v>0</v>
      </c>
      <c r="T123" s="29" t="str">
        <f>IF(S123=1,SUM($S$2:S123),"")</f>
        <v/>
      </c>
    </row>
    <row r="124" spans="1:20" x14ac:dyDescent="0.3">
      <c r="A124" s="22" t="s">
        <v>336</v>
      </c>
      <c r="B124" s="27">
        <v>45843</v>
      </c>
      <c r="C124" s="22" t="s">
        <v>45</v>
      </c>
      <c r="D124" s="22">
        <v>1</v>
      </c>
      <c r="E124" s="23">
        <v>1780</v>
      </c>
      <c r="F124" s="23">
        <v>1780</v>
      </c>
      <c r="G124" s="22" t="s">
        <v>49</v>
      </c>
      <c r="H124" s="28">
        <v>451.43</v>
      </c>
      <c r="I124" s="22" t="s">
        <v>309</v>
      </c>
      <c r="J124" s="22" t="s">
        <v>68</v>
      </c>
      <c r="K124" s="22" t="s">
        <v>310</v>
      </c>
      <c r="L124" s="27">
        <f t="shared" si="7"/>
        <v>45869</v>
      </c>
      <c r="M124" s="29">
        <f t="shared" ca="1" si="8"/>
        <v>15</v>
      </c>
      <c r="N124" s="23">
        <f t="shared" ca="1" si="9"/>
        <v>482</v>
      </c>
      <c r="O124" s="24">
        <f t="shared" si="10"/>
        <v>0.25361235955056183</v>
      </c>
      <c r="P124" s="22" t="str">
        <f t="shared" si="11"/>
        <v>Repeat</v>
      </c>
      <c r="Q124" s="22" t="str">
        <f t="shared" si="12"/>
        <v>KEY-0725-01780</v>
      </c>
      <c r="R124" s="22" t="str">
        <f t="shared" si="13"/>
        <v>DT</v>
      </c>
      <c r="S124" s="29">
        <f>IF(AND(OR(FILTER_Demo!$B$3="All",G124=FILTER_Demo!$B$3),OR(FILTER_Demo!$B$4="All",C124=FILTER_Demo!$B$4),F124&gt;=FILTER_Demo!$B$5),1,0)</f>
        <v>0</v>
      </c>
      <c r="T124" s="29" t="str">
        <f>IF(S124=1,SUM($S$2:S124),"")</f>
        <v/>
      </c>
    </row>
    <row r="125" spans="1:20" x14ac:dyDescent="0.3">
      <c r="A125" s="22" t="s">
        <v>337</v>
      </c>
      <c r="B125" s="27">
        <v>45843</v>
      </c>
      <c r="C125" s="22" t="s">
        <v>46</v>
      </c>
      <c r="D125" s="22">
        <v>2</v>
      </c>
      <c r="E125" s="23">
        <v>944</v>
      </c>
      <c r="F125" s="23">
        <v>1888</v>
      </c>
      <c r="G125" s="22" t="s">
        <v>55</v>
      </c>
      <c r="H125" s="28">
        <v>561.91999999999996</v>
      </c>
      <c r="I125" s="22" t="s">
        <v>295</v>
      </c>
      <c r="J125" s="22" t="s">
        <v>64</v>
      </c>
      <c r="K125" s="22" t="s">
        <v>296</v>
      </c>
      <c r="L125" s="27">
        <f t="shared" si="7"/>
        <v>45869</v>
      </c>
      <c r="M125" s="29">
        <f t="shared" ca="1" si="8"/>
        <v>15</v>
      </c>
      <c r="N125" s="23">
        <f t="shared" ca="1" si="9"/>
        <v>482</v>
      </c>
      <c r="O125" s="24">
        <f t="shared" si="10"/>
        <v>0.29762711864406777</v>
      </c>
      <c r="P125" s="22" t="str">
        <f t="shared" si="11"/>
        <v>Repeat</v>
      </c>
      <c r="Q125" s="22" t="str">
        <f t="shared" si="12"/>
        <v>MOU-0725-01888</v>
      </c>
      <c r="R125" s="22" t="str">
        <f t="shared" si="13"/>
        <v>AR</v>
      </c>
      <c r="S125" s="29">
        <f>IF(AND(OR(FILTER_Demo!$B$3="All",G125=FILTER_Demo!$B$3),OR(FILTER_Demo!$B$4="All",C125=FILTER_Demo!$B$4),F125&gt;=FILTER_Demo!$B$5),1,0)</f>
        <v>0</v>
      </c>
      <c r="T125" s="29" t="str">
        <f>IF(S125=1,SUM($S$2:S125),"")</f>
        <v/>
      </c>
    </row>
    <row r="126" spans="1:20" x14ac:dyDescent="0.3">
      <c r="A126" s="22" t="s">
        <v>338</v>
      </c>
      <c r="B126" s="27">
        <v>45844</v>
      </c>
      <c r="C126" s="22" t="s">
        <v>44</v>
      </c>
      <c r="D126" s="22">
        <v>2</v>
      </c>
      <c r="E126" s="23">
        <v>2761</v>
      </c>
      <c r="F126" s="23">
        <v>5522</v>
      </c>
      <c r="G126" s="22" t="s">
        <v>49</v>
      </c>
      <c r="H126" s="28">
        <v>961.84</v>
      </c>
      <c r="I126" s="22" t="s">
        <v>339</v>
      </c>
      <c r="J126" s="22" t="s">
        <v>65</v>
      </c>
      <c r="K126" s="22" t="s">
        <v>340</v>
      </c>
      <c r="L126" s="27">
        <f t="shared" si="7"/>
        <v>45869</v>
      </c>
      <c r="M126" s="29">
        <f t="shared" ca="1" si="8"/>
        <v>15</v>
      </c>
      <c r="N126" s="23">
        <f t="shared" ca="1" si="9"/>
        <v>481</v>
      </c>
      <c r="O126" s="24">
        <f t="shared" si="10"/>
        <v>0.17418326693227093</v>
      </c>
      <c r="P126" s="22" t="str">
        <f t="shared" si="11"/>
        <v>Repeat</v>
      </c>
      <c r="Q126" s="22" t="str">
        <f t="shared" si="12"/>
        <v>WEB-0725-05522</v>
      </c>
      <c r="R126" s="22" t="str">
        <f t="shared" si="13"/>
        <v>MG</v>
      </c>
      <c r="S126" s="29">
        <f>IF(AND(OR(FILTER_Demo!$B$3="All",G126=FILTER_Demo!$B$3),OR(FILTER_Demo!$B$4="All",C126=FILTER_Demo!$B$4),F126&gt;=FILTER_Demo!$B$5),1,0)</f>
        <v>0</v>
      </c>
      <c r="T126" s="29" t="str">
        <f>IF(S126=1,SUM($S$2:S126),"")</f>
        <v/>
      </c>
    </row>
    <row r="127" spans="1:20" x14ac:dyDescent="0.3">
      <c r="A127" s="22" t="s">
        <v>341</v>
      </c>
      <c r="B127" s="27">
        <v>45845</v>
      </c>
      <c r="C127" s="22" t="s">
        <v>46</v>
      </c>
      <c r="D127" s="22">
        <v>1</v>
      </c>
      <c r="E127" s="23">
        <v>834</v>
      </c>
      <c r="F127" s="23">
        <v>834</v>
      </c>
      <c r="G127" s="22" t="s">
        <v>55</v>
      </c>
      <c r="H127" s="28">
        <v>253.49</v>
      </c>
      <c r="I127" s="22" t="s">
        <v>255</v>
      </c>
      <c r="J127" s="22" t="s">
        <v>66</v>
      </c>
      <c r="K127" s="22" t="s">
        <v>256</v>
      </c>
      <c r="L127" s="27">
        <f t="shared" si="7"/>
        <v>45869</v>
      </c>
      <c r="M127" s="29">
        <f t="shared" ca="1" si="8"/>
        <v>15</v>
      </c>
      <c r="N127" s="23">
        <f t="shared" ca="1" si="9"/>
        <v>480</v>
      </c>
      <c r="O127" s="24">
        <f t="shared" si="10"/>
        <v>0.30394484412470024</v>
      </c>
      <c r="P127" s="22" t="str">
        <f t="shared" si="11"/>
        <v>Repeat</v>
      </c>
      <c r="Q127" s="22" t="str">
        <f t="shared" si="12"/>
        <v>MOU-0725-00834</v>
      </c>
      <c r="R127" s="22" t="str">
        <f t="shared" si="13"/>
        <v>MS</v>
      </c>
      <c r="S127" s="29">
        <f>IF(AND(OR(FILTER_Demo!$B$3="All",G127=FILTER_Demo!$B$3),OR(FILTER_Demo!$B$4="All",C127=FILTER_Demo!$B$4),F127&gt;=FILTER_Demo!$B$5),1,0)</f>
        <v>0</v>
      </c>
      <c r="T127" s="29" t="str">
        <f>IF(S127=1,SUM($S$2:S127),"")</f>
        <v/>
      </c>
    </row>
    <row r="128" spans="1:20" x14ac:dyDescent="0.3">
      <c r="A128" s="22" t="s">
        <v>342</v>
      </c>
      <c r="B128" s="27">
        <v>45845</v>
      </c>
      <c r="C128" s="22" t="s">
        <v>35</v>
      </c>
      <c r="D128" s="22">
        <v>3</v>
      </c>
      <c r="E128" s="23">
        <v>44378</v>
      </c>
      <c r="F128" s="23">
        <v>133134</v>
      </c>
      <c r="G128" s="22" t="s">
        <v>53</v>
      </c>
      <c r="H128" s="28">
        <v>23730.55</v>
      </c>
      <c r="I128" s="22" t="s">
        <v>343</v>
      </c>
      <c r="J128" s="22" t="s">
        <v>64</v>
      </c>
      <c r="K128" s="22" t="s">
        <v>344</v>
      </c>
      <c r="L128" s="27">
        <f t="shared" si="7"/>
        <v>45869</v>
      </c>
      <c r="M128" s="29">
        <f t="shared" ca="1" si="8"/>
        <v>15</v>
      </c>
      <c r="N128" s="23">
        <f t="shared" ca="1" si="9"/>
        <v>480</v>
      </c>
      <c r="O128" s="24">
        <f t="shared" si="10"/>
        <v>0.17824560217525198</v>
      </c>
      <c r="P128" s="22" t="str">
        <f t="shared" si="11"/>
        <v>Repeat</v>
      </c>
      <c r="Q128" s="22" t="str">
        <f t="shared" si="12"/>
        <v>LAP-0725-133134</v>
      </c>
      <c r="R128" s="22" t="str">
        <f t="shared" si="13"/>
        <v>PI</v>
      </c>
      <c r="S128" s="29">
        <f>IF(AND(OR(FILTER_Demo!$B$3="All",G128=FILTER_Demo!$B$3),OR(FILTER_Demo!$B$4="All",C128=FILTER_Demo!$B$4),F128&gt;=FILTER_Demo!$B$5),1,0)</f>
        <v>0</v>
      </c>
      <c r="T128" s="29" t="str">
        <f>IF(S128=1,SUM($S$2:S128),"")</f>
        <v/>
      </c>
    </row>
    <row r="129" spans="1:20" x14ac:dyDescent="0.3">
      <c r="A129" s="22" t="s">
        <v>345</v>
      </c>
      <c r="B129" s="27">
        <v>45845</v>
      </c>
      <c r="C129" s="22" t="s">
        <v>36</v>
      </c>
      <c r="D129" s="22">
        <v>1</v>
      </c>
      <c r="E129" s="23">
        <v>23298</v>
      </c>
      <c r="F129" s="23">
        <v>23298</v>
      </c>
      <c r="G129" s="22" t="s">
        <v>51</v>
      </c>
      <c r="H129" s="28">
        <v>2420.86</v>
      </c>
      <c r="I129" s="22" t="s">
        <v>346</v>
      </c>
      <c r="J129" s="22" t="s">
        <v>68</v>
      </c>
      <c r="K129" s="22" t="s">
        <v>347</v>
      </c>
      <c r="L129" s="27">
        <f t="shared" si="7"/>
        <v>45869</v>
      </c>
      <c r="M129" s="29">
        <f t="shared" ca="1" si="8"/>
        <v>15</v>
      </c>
      <c r="N129" s="23">
        <f t="shared" ca="1" si="9"/>
        <v>480</v>
      </c>
      <c r="O129" s="24">
        <f t="shared" si="10"/>
        <v>0.10390848999914157</v>
      </c>
      <c r="P129" s="22" t="str">
        <f t="shared" si="11"/>
        <v>Repeat</v>
      </c>
      <c r="Q129" s="22" t="str">
        <f t="shared" si="12"/>
        <v>SMA-0725-23298</v>
      </c>
      <c r="R129" s="22" t="str">
        <f t="shared" si="13"/>
        <v>VC</v>
      </c>
      <c r="S129" s="29">
        <f>IF(AND(OR(FILTER_Demo!$B$3="All",G129=FILTER_Demo!$B$3),OR(FILTER_Demo!$B$4="All",C129=FILTER_Demo!$B$4),F129&gt;=FILTER_Demo!$B$5),1,0)</f>
        <v>0</v>
      </c>
      <c r="T129" s="29" t="str">
        <f>IF(S129=1,SUM($S$2:S129),"")</f>
        <v/>
      </c>
    </row>
    <row r="130" spans="1:20" x14ac:dyDescent="0.3">
      <c r="A130" s="22" t="s">
        <v>348</v>
      </c>
      <c r="B130" s="27">
        <v>45846</v>
      </c>
      <c r="C130" s="22" t="s">
        <v>36</v>
      </c>
      <c r="D130" s="22">
        <v>2</v>
      </c>
      <c r="E130" s="23">
        <v>20759</v>
      </c>
      <c r="F130" s="23">
        <v>41518</v>
      </c>
      <c r="G130" s="22" t="s">
        <v>51</v>
      </c>
      <c r="H130" s="28">
        <v>5810.3</v>
      </c>
      <c r="I130" s="22" t="s">
        <v>225</v>
      </c>
      <c r="J130" s="22" t="s">
        <v>68</v>
      </c>
      <c r="K130" s="22" t="s">
        <v>226</v>
      </c>
      <c r="L130" s="27">
        <f t="shared" ref="L130:L193" si="14">EOMONTH(B130,0)</f>
        <v>45869</v>
      </c>
      <c r="M130" s="29">
        <f t="shared" ref="M130:M193" ca="1" si="15">DATEDIF(B130,TODAY(),"m")</f>
        <v>15</v>
      </c>
      <c r="N130" s="23">
        <f t="shared" ref="N130:N193" ca="1" si="16">TODAY()-B130</f>
        <v>479</v>
      </c>
      <c r="O130" s="24">
        <f t="shared" ref="O130:O193" si="17">IF(F130=0,0,H130/F130)</f>
        <v>0.13994652921624356</v>
      </c>
      <c r="P130" s="22" t="str">
        <f t="shared" ref="P130:P193" si="18">IF(COUNTIF($K$2:$K$251,K130)&gt;1,"Repeat","One-time")</f>
        <v>Repeat</v>
      </c>
      <c r="Q130" s="22" t="str">
        <f t="shared" ref="Q130:Q193" si="19">UPPER(LEFT(C130,3))&amp;"-"&amp;TEXT(B130,"MMYY")&amp;"-"&amp;TEXT(F130,"00000")</f>
        <v>SMA-0725-41518</v>
      </c>
      <c r="R130" s="22" t="str">
        <f t="shared" ref="R130:R193" si="20">LEFT(K130,1)&amp;MID(K130,FIND(" ",K130)+1,1)</f>
        <v>MM</v>
      </c>
      <c r="S130" s="29">
        <f>IF(AND(OR(FILTER_Demo!$B$3="All",G130=FILTER_Demo!$B$3),OR(FILTER_Demo!$B$4="All",C130=FILTER_Demo!$B$4),F130&gt;=FILTER_Demo!$B$5),1,0)</f>
        <v>0</v>
      </c>
      <c r="T130" s="29" t="str">
        <f>IF(S130=1,SUM($S$2:S130),"")</f>
        <v/>
      </c>
    </row>
    <row r="131" spans="1:20" x14ac:dyDescent="0.3">
      <c r="A131" s="22" t="s">
        <v>349</v>
      </c>
      <c r="B131" s="27">
        <v>45846</v>
      </c>
      <c r="C131" s="22" t="s">
        <v>41</v>
      </c>
      <c r="D131" s="22">
        <v>1</v>
      </c>
      <c r="E131" s="23">
        <v>9427</v>
      </c>
      <c r="F131" s="23">
        <v>9427</v>
      </c>
      <c r="G131" s="22" t="s">
        <v>52</v>
      </c>
      <c r="H131" s="28">
        <v>1072.42</v>
      </c>
      <c r="I131" s="22" t="s">
        <v>113</v>
      </c>
      <c r="J131" s="22" t="s">
        <v>64</v>
      </c>
      <c r="K131" s="22" t="s">
        <v>114</v>
      </c>
      <c r="L131" s="27">
        <f t="shared" si="14"/>
        <v>45869</v>
      </c>
      <c r="M131" s="29">
        <f t="shared" ca="1" si="15"/>
        <v>15</v>
      </c>
      <c r="N131" s="23">
        <f t="shared" ca="1" si="16"/>
        <v>479</v>
      </c>
      <c r="O131" s="24">
        <f t="shared" si="17"/>
        <v>0.11376047523072028</v>
      </c>
      <c r="P131" s="22" t="str">
        <f t="shared" si="18"/>
        <v>Repeat</v>
      </c>
      <c r="Q131" s="22" t="str">
        <f t="shared" si="19"/>
        <v>PRI-0725-09427</v>
      </c>
      <c r="R131" s="22" t="str">
        <f t="shared" si="20"/>
        <v>VB</v>
      </c>
      <c r="S131" s="29">
        <f>IF(AND(OR(FILTER_Demo!$B$3="All",G131=FILTER_Demo!$B$3),OR(FILTER_Demo!$B$4="All",C131=FILTER_Demo!$B$4),F131&gt;=FILTER_Demo!$B$5),1,0)</f>
        <v>0</v>
      </c>
      <c r="T131" s="29" t="str">
        <f>IF(S131=1,SUM($S$2:S131),"")</f>
        <v/>
      </c>
    </row>
    <row r="132" spans="1:20" x14ac:dyDescent="0.3">
      <c r="A132" s="22" t="s">
        <v>350</v>
      </c>
      <c r="B132" s="27">
        <v>45848</v>
      </c>
      <c r="C132" s="22" t="s">
        <v>43</v>
      </c>
      <c r="D132" s="22">
        <v>3</v>
      </c>
      <c r="E132" s="23">
        <v>3187</v>
      </c>
      <c r="F132" s="23">
        <v>9561</v>
      </c>
      <c r="G132" s="22" t="s">
        <v>55</v>
      </c>
      <c r="H132" s="28">
        <v>2371.69</v>
      </c>
      <c r="I132" s="22" t="s">
        <v>195</v>
      </c>
      <c r="J132" s="22" t="s">
        <v>68</v>
      </c>
      <c r="K132" s="22" t="s">
        <v>196</v>
      </c>
      <c r="L132" s="27">
        <f t="shared" si="14"/>
        <v>45869</v>
      </c>
      <c r="M132" s="29">
        <f t="shared" ca="1" si="15"/>
        <v>15</v>
      </c>
      <c r="N132" s="23">
        <f t="shared" ca="1" si="16"/>
        <v>477</v>
      </c>
      <c r="O132" s="24">
        <f t="shared" si="17"/>
        <v>0.24805878046229474</v>
      </c>
      <c r="P132" s="22" t="str">
        <f t="shared" si="18"/>
        <v>Repeat</v>
      </c>
      <c r="Q132" s="22" t="str">
        <f t="shared" si="19"/>
        <v>HEA-0725-09561</v>
      </c>
      <c r="R132" s="22" t="str">
        <f t="shared" si="20"/>
        <v>AK</v>
      </c>
      <c r="S132" s="29">
        <f>IF(AND(OR(FILTER_Demo!$B$3="All",G132=FILTER_Demo!$B$3),OR(FILTER_Demo!$B$4="All",C132=FILTER_Demo!$B$4),F132&gt;=FILTER_Demo!$B$5),1,0)</f>
        <v>0</v>
      </c>
      <c r="T132" s="29" t="str">
        <f>IF(S132=1,SUM($S$2:S132),"")</f>
        <v/>
      </c>
    </row>
    <row r="133" spans="1:20" x14ac:dyDescent="0.3">
      <c r="A133" s="22" t="s">
        <v>351</v>
      </c>
      <c r="B133" s="27">
        <v>45849</v>
      </c>
      <c r="C133" s="22" t="s">
        <v>40</v>
      </c>
      <c r="D133" s="22">
        <v>2</v>
      </c>
      <c r="E133" s="23">
        <v>7838</v>
      </c>
      <c r="F133" s="23">
        <v>15676</v>
      </c>
      <c r="G133" s="22" t="s">
        <v>53</v>
      </c>
      <c r="H133" s="28">
        <v>3090.82</v>
      </c>
      <c r="I133" s="22" t="s">
        <v>135</v>
      </c>
      <c r="J133" s="22" t="s">
        <v>67</v>
      </c>
      <c r="K133" s="22" t="s">
        <v>136</v>
      </c>
      <c r="L133" s="27">
        <f t="shared" si="14"/>
        <v>45869</v>
      </c>
      <c r="M133" s="29">
        <f t="shared" ca="1" si="15"/>
        <v>15</v>
      </c>
      <c r="N133" s="23">
        <f t="shared" ca="1" si="16"/>
        <v>476</v>
      </c>
      <c r="O133" s="24">
        <f t="shared" si="17"/>
        <v>0.19716892064302119</v>
      </c>
      <c r="P133" s="22" t="str">
        <f t="shared" si="18"/>
        <v>Repeat</v>
      </c>
      <c r="Q133" s="22" t="str">
        <f t="shared" si="19"/>
        <v>SMA-0725-15676</v>
      </c>
      <c r="R133" s="22" t="str">
        <f t="shared" si="20"/>
        <v>SM</v>
      </c>
      <c r="S133" s="29">
        <f>IF(AND(OR(FILTER_Demo!$B$3="All",G133=FILTER_Demo!$B$3),OR(FILTER_Demo!$B$4="All",C133=FILTER_Demo!$B$4),F133&gt;=FILTER_Demo!$B$5),1,0)</f>
        <v>0</v>
      </c>
      <c r="T133" s="29" t="str">
        <f>IF(S133=1,SUM($S$2:S133),"")</f>
        <v/>
      </c>
    </row>
    <row r="134" spans="1:20" x14ac:dyDescent="0.3">
      <c r="A134" s="22" t="s">
        <v>352</v>
      </c>
      <c r="B134" s="27">
        <v>45849</v>
      </c>
      <c r="C134" s="22" t="s">
        <v>35</v>
      </c>
      <c r="D134" s="22">
        <v>1</v>
      </c>
      <c r="E134" s="23">
        <v>47665</v>
      </c>
      <c r="F134" s="23">
        <v>47665</v>
      </c>
      <c r="G134" s="22" t="s">
        <v>53</v>
      </c>
      <c r="H134" s="28">
        <v>5688.19</v>
      </c>
      <c r="I134" s="22" t="s">
        <v>95</v>
      </c>
      <c r="J134" s="22" t="s">
        <v>65</v>
      </c>
      <c r="K134" s="22" t="s">
        <v>96</v>
      </c>
      <c r="L134" s="27">
        <f t="shared" si="14"/>
        <v>45869</v>
      </c>
      <c r="M134" s="29">
        <f t="shared" ca="1" si="15"/>
        <v>15</v>
      </c>
      <c r="N134" s="23">
        <f t="shared" ca="1" si="16"/>
        <v>476</v>
      </c>
      <c r="O134" s="24">
        <f t="shared" si="17"/>
        <v>0.11933682995908947</v>
      </c>
      <c r="P134" s="22" t="str">
        <f t="shared" si="18"/>
        <v>Repeat</v>
      </c>
      <c r="Q134" s="22" t="str">
        <f t="shared" si="19"/>
        <v>LAP-0725-47665</v>
      </c>
      <c r="R134" s="22" t="str">
        <f t="shared" si="20"/>
        <v>AT</v>
      </c>
      <c r="S134" s="29">
        <f>IF(AND(OR(FILTER_Demo!$B$3="All",G134=FILTER_Demo!$B$3),OR(FILTER_Demo!$B$4="All",C134=FILTER_Demo!$B$4),F134&gt;=FILTER_Demo!$B$5),1,0)</f>
        <v>0</v>
      </c>
      <c r="T134" s="29" t="str">
        <f>IF(S134=1,SUM($S$2:S134),"")</f>
        <v/>
      </c>
    </row>
    <row r="135" spans="1:20" x14ac:dyDescent="0.3">
      <c r="A135" s="22" t="s">
        <v>353</v>
      </c>
      <c r="B135" s="27">
        <v>45852</v>
      </c>
      <c r="C135" s="22" t="s">
        <v>38</v>
      </c>
      <c r="D135" s="22">
        <v>1</v>
      </c>
      <c r="E135" s="23">
        <v>11762</v>
      </c>
      <c r="F135" s="23">
        <v>11762</v>
      </c>
      <c r="G135" s="22" t="s">
        <v>49</v>
      </c>
      <c r="H135" s="28">
        <v>1245.17</v>
      </c>
      <c r="I135" s="22" t="s">
        <v>277</v>
      </c>
      <c r="J135" s="22" t="s">
        <v>66</v>
      </c>
      <c r="K135" s="22" t="s">
        <v>278</v>
      </c>
      <c r="L135" s="27">
        <f t="shared" si="14"/>
        <v>45869</v>
      </c>
      <c r="M135" s="29">
        <f t="shared" ca="1" si="15"/>
        <v>15</v>
      </c>
      <c r="N135" s="23">
        <f t="shared" ca="1" si="16"/>
        <v>473</v>
      </c>
      <c r="O135" s="24">
        <f t="shared" si="17"/>
        <v>0.10586379867369496</v>
      </c>
      <c r="P135" s="22" t="str">
        <f t="shared" si="18"/>
        <v>Repeat</v>
      </c>
      <c r="Q135" s="22" t="str">
        <f t="shared" si="19"/>
        <v>MON-0725-11762</v>
      </c>
      <c r="R135" s="22" t="str">
        <f t="shared" si="20"/>
        <v>IR</v>
      </c>
      <c r="S135" s="29">
        <f>IF(AND(OR(FILTER_Demo!$B$3="All",G135=FILTER_Demo!$B$3),OR(FILTER_Demo!$B$4="All",C135=FILTER_Demo!$B$4),F135&gt;=FILTER_Demo!$B$5),1,0)</f>
        <v>0</v>
      </c>
      <c r="T135" s="29" t="str">
        <f>IF(S135=1,SUM($S$2:S135),"")</f>
        <v/>
      </c>
    </row>
    <row r="136" spans="1:20" x14ac:dyDescent="0.3">
      <c r="A136" s="22" t="s">
        <v>354</v>
      </c>
      <c r="B136" s="27">
        <v>45852</v>
      </c>
      <c r="C136" s="22" t="s">
        <v>39</v>
      </c>
      <c r="D136" s="22">
        <v>1</v>
      </c>
      <c r="E136" s="23">
        <v>16962</v>
      </c>
      <c r="F136" s="23">
        <v>16962</v>
      </c>
      <c r="G136" s="22" t="s">
        <v>52</v>
      </c>
      <c r="H136" s="28">
        <v>1911.36</v>
      </c>
      <c r="I136" s="22" t="s">
        <v>123</v>
      </c>
      <c r="J136" s="22" t="s">
        <v>66</v>
      </c>
      <c r="K136" s="22" t="s">
        <v>124</v>
      </c>
      <c r="L136" s="27">
        <f t="shared" si="14"/>
        <v>45869</v>
      </c>
      <c r="M136" s="29">
        <f t="shared" ca="1" si="15"/>
        <v>15</v>
      </c>
      <c r="N136" s="23">
        <f t="shared" ca="1" si="16"/>
        <v>473</v>
      </c>
      <c r="O136" s="24">
        <f t="shared" si="17"/>
        <v>0.11268482490272373</v>
      </c>
      <c r="P136" s="22" t="str">
        <f t="shared" si="18"/>
        <v>Repeat</v>
      </c>
      <c r="Q136" s="22" t="str">
        <f t="shared" si="19"/>
        <v>TAB-0725-16962</v>
      </c>
      <c r="R136" s="22" t="str">
        <f t="shared" si="20"/>
        <v>AI</v>
      </c>
      <c r="S136" s="29">
        <f>IF(AND(OR(FILTER_Demo!$B$3="All",G136=FILTER_Demo!$B$3),OR(FILTER_Demo!$B$4="All",C136=FILTER_Demo!$B$4),F136&gt;=FILTER_Demo!$B$5),1,0)</f>
        <v>1</v>
      </c>
      <c r="T136" s="29">
        <f>IF(S136=1,SUM($S$2:S136),"")</f>
        <v>12</v>
      </c>
    </row>
    <row r="137" spans="1:20" x14ac:dyDescent="0.3">
      <c r="A137" s="22" t="s">
        <v>355</v>
      </c>
      <c r="B137" s="27">
        <v>45853</v>
      </c>
      <c r="C137" s="22" t="s">
        <v>43</v>
      </c>
      <c r="D137" s="22">
        <v>3</v>
      </c>
      <c r="E137" s="23">
        <v>3446</v>
      </c>
      <c r="F137" s="23">
        <v>10338</v>
      </c>
      <c r="G137" s="22" t="s">
        <v>55</v>
      </c>
      <c r="H137" s="28">
        <v>2133.27</v>
      </c>
      <c r="I137" s="22" t="s">
        <v>356</v>
      </c>
      <c r="J137" s="22" t="s">
        <v>68</v>
      </c>
      <c r="K137" s="22" t="s">
        <v>357</v>
      </c>
      <c r="L137" s="27">
        <f t="shared" si="14"/>
        <v>45869</v>
      </c>
      <c r="M137" s="29">
        <f t="shared" ca="1" si="15"/>
        <v>15</v>
      </c>
      <c r="N137" s="23">
        <f t="shared" ca="1" si="16"/>
        <v>472</v>
      </c>
      <c r="O137" s="24">
        <f t="shared" si="17"/>
        <v>0.20635229251305862</v>
      </c>
      <c r="P137" s="22" t="str">
        <f t="shared" si="18"/>
        <v>One-time</v>
      </c>
      <c r="Q137" s="22" t="str">
        <f t="shared" si="19"/>
        <v>HEA-0725-10338</v>
      </c>
      <c r="R137" s="22" t="str">
        <f t="shared" si="20"/>
        <v>NR</v>
      </c>
      <c r="S137" s="29">
        <f>IF(AND(OR(FILTER_Demo!$B$3="All",G137=FILTER_Demo!$B$3),OR(FILTER_Demo!$B$4="All",C137=FILTER_Demo!$B$4),F137&gt;=FILTER_Demo!$B$5),1,0)</f>
        <v>0</v>
      </c>
      <c r="T137" s="29" t="str">
        <f>IF(S137=1,SUM($S$2:S137),"")</f>
        <v/>
      </c>
    </row>
    <row r="138" spans="1:20" x14ac:dyDescent="0.3">
      <c r="A138" s="22" t="s">
        <v>358</v>
      </c>
      <c r="B138" s="27">
        <v>45853</v>
      </c>
      <c r="C138" s="22" t="s">
        <v>46</v>
      </c>
      <c r="D138" s="22">
        <v>1</v>
      </c>
      <c r="E138" s="23">
        <v>944</v>
      </c>
      <c r="F138" s="23">
        <v>944</v>
      </c>
      <c r="G138" s="22" t="s">
        <v>53</v>
      </c>
      <c r="H138" s="28">
        <v>302.57</v>
      </c>
      <c r="I138" s="22" t="s">
        <v>132</v>
      </c>
      <c r="J138" s="22" t="s">
        <v>67</v>
      </c>
      <c r="K138" s="22" t="s">
        <v>133</v>
      </c>
      <c r="L138" s="27">
        <f t="shared" si="14"/>
        <v>45869</v>
      </c>
      <c r="M138" s="29">
        <f t="shared" ca="1" si="15"/>
        <v>15</v>
      </c>
      <c r="N138" s="23">
        <f t="shared" ca="1" si="16"/>
        <v>472</v>
      </c>
      <c r="O138" s="24">
        <f t="shared" si="17"/>
        <v>0.32051906779661016</v>
      </c>
      <c r="P138" s="22" t="str">
        <f t="shared" si="18"/>
        <v>Repeat</v>
      </c>
      <c r="Q138" s="22" t="str">
        <f t="shared" si="19"/>
        <v>MOU-0725-00944</v>
      </c>
      <c r="R138" s="22" t="str">
        <f t="shared" si="20"/>
        <v>RR</v>
      </c>
      <c r="S138" s="29">
        <f>IF(AND(OR(FILTER_Demo!$B$3="All",G138=FILTER_Demo!$B$3),OR(FILTER_Demo!$B$4="All",C138=FILTER_Demo!$B$4),F138&gt;=FILTER_Demo!$B$5),1,0)</f>
        <v>0</v>
      </c>
      <c r="T138" s="29" t="str">
        <f>IF(S138=1,SUM($S$2:S138),"")</f>
        <v/>
      </c>
    </row>
    <row r="139" spans="1:20" x14ac:dyDescent="0.3">
      <c r="A139" s="22" t="s">
        <v>359</v>
      </c>
      <c r="B139" s="27">
        <v>45853</v>
      </c>
      <c r="C139" s="22" t="s">
        <v>40</v>
      </c>
      <c r="D139" s="22">
        <v>5</v>
      </c>
      <c r="E139" s="23">
        <v>8565</v>
      </c>
      <c r="F139" s="23">
        <v>42825</v>
      </c>
      <c r="G139" s="22" t="s">
        <v>55</v>
      </c>
      <c r="H139" s="28">
        <v>6023.99</v>
      </c>
      <c r="I139" s="22" t="s">
        <v>339</v>
      </c>
      <c r="J139" s="22" t="s">
        <v>68</v>
      </c>
      <c r="K139" s="22" t="s">
        <v>340</v>
      </c>
      <c r="L139" s="27">
        <f t="shared" si="14"/>
        <v>45869</v>
      </c>
      <c r="M139" s="29">
        <f t="shared" ca="1" si="15"/>
        <v>15</v>
      </c>
      <c r="N139" s="23">
        <f t="shared" ca="1" si="16"/>
        <v>472</v>
      </c>
      <c r="O139" s="24">
        <f t="shared" si="17"/>
        <v>0.14066526561587858</v>
      </c>
      <c r="P139" s="22" t="str">
        <f t="shared" si="18"/>
        <v>Repeat</v>
      </c>
      <c r="Q139" s="22" t="str">
        <f t="shared" si="19"/>
        <v>SMA-0725-42825</v>
      </c>
      <c r="R139" s="22" t="str">
        <f t="shared" si="20"/>
        <v>MG</v>
      </c>
      <c r="S139" s="29">
        <f>IF(AND(OR(FILTER_Demo!$B$3="All",G139=FILTER_Demo!$B$3),OR(FILTER_Demo!$B$4="All",C139=FILTER_Demo!$B$4),F139&gt;=FILTER_Demo!$B$5),1,0)</f>
        <v>0</v>
      </c>
      <c r="T139" s="29" t="str">
        <f>IF(S139=1,SUM($S$2:S139),"")</f>
        <v/>
      </c>
    </row>
    <row r="140" spans="1:20" x14ac:dyDescent="0.3">
      <c r="A140" s="22" t="s">
        <v>360</v>
      </c>
      <c r="B140" s="27">
        <v>45854</v>
      </c>
      <c r="C140" s="22" t="s">
        <v>43</v>
      </c>
      <c r="D140" s="22">
        <v>1</v>
      </c>
      <c r="E140" s="23">
        <v>3695</v>
      </c>
      <c r="F140" s="23">
        <v>3695</v>
      </c>
      <c r="G140" s="22" t="s">
        <v>55</v>
      </c>
      <c r="H140" s="28">
        <v>874.36</v>
      </c>
      <c r="I140" s="22" t="s">
        <v>222</v>
      </c>
      <c r="J140" s="22" t="s">
        <v>68</v>
      </c>
      <c r="K140" s="22" t="s">
        <v>223</v>
      </c>
      <c r="L140" s="27">
        <f t="shared" si="14"/>
        <v>45869</v>
      </c>
      <c r="M140" s="29">
        <f t="shared" ca="1" si="15"/>
        <v>15</v>
      </c>
      <c r="N140" s="23">
        <f t="shared" ca="1" si="16"/>
        <v>471</v>
      </c>
      <c r="O140" s="24">
        <f t="shared" si="17"/>
        <v>0.23663328822733423</v>
      </c>
      <c r="P140" s="22" t="str">
        <f t="shared" si="18"/>
        <v>Repeat</v>
      </c>
      <c r="Q140" s="22" t="str">
        <f t="shared" si="19"/>
        <v>HEA-0725-03695</v>
      </c>
      <c r="R140" s="22" t="str">
        <f t="shared" si="20"/>
        <v>AJ</v>
      </c>
      <c r="S140" s="29">
        <f>IF(AND(OR(FILTER_Demo!$B$3="All",G140=FILTER_Demo!$B$3),OR(FILTER_Demo!$B$4="All",C140=FILTER_Demo!$B$4),F140&gt;=FILTER_Demo!$B$5),1,0)</f>
        <v>0</v>
      </c>
      <c r="T140" s="29" t="str">
        <f>IF(S140=1,SUM($S$2:S140),"")</f>
        <v/>
      </c>
    </row>
    <row r="141" spans="1:20" x14ac:dyDescent="0.3">
      <c r="A141" s="22" t="s">
        <v>361</v>
      </c>
      <c r="B141" s="27">
        <v>45855</v>
      </c>
      <c r="C141" s="22" t="s">
        <v>45</v>
      </c>
      <c r="D141" s="22">
        <v>1</v>
      </c>
      <c r="E141" s="23">
        <v>1764</v>
      </c>
      <c r="F141" s="23">
        <v>1764</v>
      </c>
      <c r="G141" s="22" t="s">
        <v>52</v>
      </c>
      <c r="H141" s="28">
        <v>483.29</v>
      </c>
      <c r="I141" s="22" t="s">
        <v>187</v>
      </c>
      <c r="J141" s="22" t="s">
        <v>67</v>
      </c>
      <c r="K141" s="22" t="s">
        <v>188</v>
      </c>
      <c r="L141" s="27">
        <f t="shared" si="14"/>
        <v>45869</v>
      </c>
      <c r="M141" s="29">
        <f t="shared" ca="1" si="15"/>
        <v>15</v>
      </c>
      <c r="N141" s="23">
        <f t="shared" ca="1" si="16"/>
        <v>470</v>
      </c>
      <c r="O141" s="24">
        <f t="shared" si="17"/>
        <v>0.27397392290249434</v>
      </c>
      <c r="P141" s="22" t="str">
        <f t="shared" si="18"/>
        <v>Repeat</v>
      </c>
      <c r="Q141" s="22" t="str">
        <f t="shared" si="19"/>
        <v>KEY-0725-01764</v>
      </c>
      <c r="R141" s="22" t="str">
        <f t="shared" si="20"/>
        <v>RC</v>
      </c>
      <c r="S141" s="29">
        <f>IF(AND(OR(FILTER_Demo!$B$3="All",G141=FILTER_Demo!$B$3),OR(FILTER_Demo!$B$4="All",C141=FILTER_Demo!$B$4),F141&gt;=FILTER_Demo!$B$5),1,0)</f>
        <v>0</v>
      </c>
      <c r="T141" s="29" t="str">
        <f>IF(S141=1,SUM($S$2:S141),"")</f>
        <v/>
      </c>
    </row>
    <row r="142" spans="1:20" x14ac:dyDescent="0.3">
      <c r="A142" s="22" t="s">
        <v>362</v>
      </c>
      <c r="B142" s="27">
        <v>45857</v>
      </c>
      <c r="C142" s="22" t="s">
        <v>41</v>
      </c>
      <c r="D142" s="22">
        <v>1</v>
      </c>
      <c r="E142" s="23">
        <v>8668</v>
      </c>
      <c r="F142" s="23">
        <v>8668</v>
      </c>
      <c r="G142" s="22" t="s">
        <v>55</v>
      </c>
      <c r="H142" s="28">
        <v>1675.43</v>
      </c>
      <c r="I142" s="22" t="s">
        <v>363</v>
      </c>
      <c r="J142" s="22" t="s">
        <v>68</v>
      </c>
      <c r="K142" s="22" t="s">
        <v>364</v>
      </c>
      <c r="L142" s="27">
        <f t="shared" si="14"/>
        <v>45869</v>
      </c>
      <c r="M142" s="29">
        <f t="shared" ca="1" si="15"/>
        <v>15</v>
      </c>
      <c r="N142" s="23">
        <f t="shared" ca="1" si="16"/>
        <v>468</v>
      </c>
      <c r="O142" s="24">
        <f t="shared" si="17"/>
        <v>0.19328910936778959</v>
      </c>
      <c r="P142" s="22" t="str">
        <f t="shared" si="18"/>
        <v>One-time</v>
      </c>
      <c r="Q142" s="22" t="str">
        <f t="shared" si="19"/>
        <v>PRI-0725-08668</v>
      </c>
      <c r="R142" s="22" t="str">
        <f t="shared" si="20"/>
        <v>KR</v>
      </c>
      <c r="S142" s="29">
        <f>IF(AND(OR(FILTER_Demo!$B$3="All",G142=FILTER_Demo!$B$3),OR(FILTER_Demo!$B$4="All",C142=FILTER_Demo!$B$4),F142&gt;=FILTER_Demo!$B$5),1,0)</f>
        <v>0</v>
      </c>
      <c r="T142" s="29" t="str">
        <f>IF(S142=1,SUM($S$2:S142),"")</f>
        <v/>
      </c>
    </row>
    <row r="143" spans="1:20" x14ac:dyDescent="0.3">
      <c r="A143" s="22" t="s">
        <v>365</v>
      </c>
      <c r="B143" s="27">
        <v>45857</v>
      </c>
      <c r="C143" s="22" t="s">
        <v>46</v>
      </c>
      <c r="D143" s="22">
        <v>1</v>
      </c>
      <c r="E143" s="23">
        <v>980</v>
      </c>
      <c r="F143" s="23">
        <v>980</v>
      </c>
      <c r="G143" s="22" t="s">
        <v>53</v>
      </c>
      <c r="H143" s="28">
        <v>274.26</v>
      </c>
      <c r="I143" s="22" t="s">
        <v>119</v>
      </c>
      <c r="J143" s="22" t="s">
        <v>68</v>
      </c>
      <c r="K143" s="22" t="s">
        <v>120</v>
      </c>
      <c r="L143" s="27">
        <f t="shared" si="14"/>
        <v>45869</v>
      </c>
      <c r="M143" s="29">
        <f t="shared" ca="1" si="15"/>
        <v>15</v>
      </c>
      <c r="N143" s="23">
        <f t="shared" ca="1" si="16"/>
        <v>468</v>
      </c>
      <c r="O143" s="24">
        <f t="shared" si="17"/>
        <v>0.27985714285714286</v>
      </c>
      <c r="P143" s="22" t="str">
        <f t="shared" si="18"/>
        <v>Repeat</v>
      </c>
      <c r="Q143" s="22" t="str">
        <f t="shared" si="19"/>
        <v>MOU-0725-00980</v>
      </c>
      <c r="R143" s="22" t="str">
        <f t="shared" si="20"/>
        <v>AR</v>
      </c>
      <c r="S143" s="29">
        <f>IF(AND(OR(FILTER_Demo!$B$3="All",G143=FILTER_Demo!$B$3),OR(FILTER_Demo!$B$4="All",C143=FILTER_Demo!$B$4),F143&gt;=FILTER_Demo!$B$5),1,0)</f>
        <v>0</v>
      </c>
      <c r="T143" s="29" t="str">
        <f>IF(S143=1,SUM($S$2:S143),"")</f>
        <v/>
      </c>
    </row>
    <row r="144" spans="1:20" x14ac:dyDescent="0.3">
      <c r="A144" s="22" t="s">
        <v>366</v>
      </c>
      <c r="B144" s="27">
        <v>45861</v>
      </c>
      <c r="C144" s="22" t="s">
        <v>41</v>
      </c>
      <c r="D144" s="22">
        <v>2</v>
      </c>
      <c r="E144" s="23">
        <v>9819</v>
      </c>
      <c r="F144" s="23">
        <v>19638</v>
      </c>
      <c r="G144" s="22" t="s">
        <v>49</v>
      </c>
      <c r="H144" s="28">
        <v>2855.69</v>
      </c>
      <c r="I144" s="22" t="s">
        <v>251</v>
      </c>
      <c r="J144" s="22" t="s">
        <v>64</v>
      </c>
      <c r="K144" s="22" t="s">
        <v>252</v>
      </c>
      <c r="L144" s="27">
        <f t="shared" si="14"/>
        <v>45869</v>
      </c>
      <c r="M144" s="29">
        <f t="shared" ca="1" si="15"/>
        <v>15</v>
      </c>
      <c r="N144" s="23">
        <f t="shared" ca="1" si="16"/>
        <v>464</v>
      </c>
      <c r="O144" s="24">
        <f t="shared" si="17"/>
        <v>0.14541653936246055</v>
      </c>
      <c r="P144" s="22" t="str">
        <f t="shared" si="18"/>
        <v>Repeat</v>
      </c>
      <c r="Q144" s="22" t="str">
        <f t="shared" si="19"/>
        <v>PRI-0725-19638</v>
      </c>
      <c r="R144" s="22" t="str">
        <f t="shared" si="20"/>
        <v>AC</v>
      </c>
      <c r="S144" s="29">
        <f>IF(AND(OR(FILTER_Demo!$B$3="All",G144=FILTER_Demo!$B$3),OR(FILTER_Demo!$B$4="All",C144=FILTER_Demo!$B$4),F144&gt;=FILTER_Demo!$B$5),1,0)</f>
        <v>0</v>
      </c>
      <c r="T144" s="29" t="str">
        <f>IF(S144=1,SUM($S$2:S144),"")</f>
        <v/>
      </c>
    </row>
    <row r="145" spans="1:20" x14ac:dyDescent="0.3">
      <c r="A145" s="22" t="s">
        <v>367</v>
      </c>
      <c r="B145" s="27">
        <v>45862</v>
      </c>
      <c r="C145" s="22" t="s">
        <v>38</v>
      </c>
      <c r="D145" s="22">
        <v>4</v>
      </c>
      <c r="E145" s="23">
        <v>11793</v>
      </c>
      <c r="F145" s="23">
        <v>47172</v>
      </c>
      <c r="G145" s="22" t="s">
        <v>53</v>
      </c>
      <c r="H145" s="28">
        <v>8620.2999999999993</v>
      </c>
      <c r="I145" s="22" t="s">
        <v>107</v>
      </c>
      <c r="J145" s="22" t="s">
        <v>66</v>
      </c>
      <c r="K145" s="22" t="s">
        <v>108</v>
      </c>
      <c r="L145" s="27">
        <f t="shared" si="14"/>
        <v>45869</v>
      </c>
      <c r="M145" s="29">
        <f t="shared" ca="1" si="15"/>
        <v>15</v>
      </c>
      <c r="N145" s="23">
        <f t="shared" ca="1" si="16"/>
        <v>463</v>
      </c>
      <c r="O145" s="24">
        <f t="shared" si="17"/>
        <v>0.18274188077673195</v>
      </c>
      <c r="P145" s="22" t="str">
        <f t="shared" si="18"/>
        <v>Repeat</v>
      </c>
      <c r="Q145" s="22" t="str">
        <f t="shared" si="19"/>
        <v>MON-0725-47172</v>
      </c>
      <c r="R145" s="22" t="str">
        <f t="shared" si="20"/>
        <v>VM</v>
      </c>
      <c r="S145" s="29">
        <f>IF(AND(OR(FILTER_Demo!$B$3="All",G145=FILTER_Demo!$B$3),OR(FILTER_Demo!$B$4="All",C145=FILTER_Demo!$B$4),F145&gt;=FILTER_Demo!$B$5),1,0)</f>
        <v>0</v>
      </c>
      <c r="T145" s="29" t="str">
        <f>IF(S145=1,SUM($S$2:S145),"")</f>
        <v/>
      </c>
    </row>
    <row r="146" spans="1:20" x14ac:dyDescent="0.3">
      <c r="A146" s="22" t="s">
        <v>368</v>
      </c>
      <c r="B146" s="27">
        <v>45866</v>
      </c>
      <c r="C146" s="22" t="s">
        <v>40</v>
      </c>
      <c r="D146" s="22">
        <v>2</v>
      </c>
      <c r="E146" s="23">
        <v>7766</v>
      </c>
      <c r="F146" s="23">
        <v>15532</v>
      </c>
      <c r="G146" s="22" t="s">
        <v>55</v>
      </c>
      <c r="H146" s="28">
        <v>2888.77</v>
      </c>
      <c r="I146" s="22" t="s">
        <v>132</v>
      </c>
      <c r="J146" s="22" t="s">
        <v>65</v>
      </c>
      <c r="K146" s="22" t="s">
        <v>133</v>
      </c>
      <c r="L146" s="27">
        <f t="shared" si="14"/>
        <v>45869</v>
      </c>
      <c r="M146" s="29">
        <f t="shared" ca="1" si="15"/>
        <v>15</v>
      </c>
      <c r="N146" s="23">
        <f t="shared" ca="1" si="16"/>
        <v>459</v>
      </c>
      <c r="O146" s="24">
        <f t="shared" si="17"/>
        <v>0.18598828225598762</v>
      </c>
      <c r="P146" s="22" t="str">
        <f t="shared" si="18"/>
        <v>Repeat</v>
      </c>
      <c r="Q146" s="22" t="str">
        <f t="shared" si="19"/>
        <v>SMA-0725-15532</v>
      </c>
      <c r="R146" s="22" t="str">
        <f t="shared" si="20"/>
        <v>RR</v>
      </c>
      <c r="S146" s="29">
        <f>IF(AND(OR(FILTER_Demo!$B$3="All",G146=FILTER_Demo!$B$3),OR(FILTER_Demo!$B$4="All",C146=FILTER_Demo!$B$4),F146&gt;=FILTER_Demo!$B$5),1,0)</f>
        <v>0</v>
      </c>
      <c r="T146" s="29" t="str">
        <f>IF(S146=1,SUM($S$2:S146),"")</f>
        <v/>
      </c>
    </row>
    <row r="147" spans="1:20" x14ac:dyDescent="0.3">
      <c r="A147" s="22" t="s">
        <v>369</v>
      </c>
      <c r="B147" s="27">
        <v>45867</v>
      </c>
      <c r="C147" s="22" t="s">
        <v>43</v>
      </c>
      <c r="D147" s="22">
        <v>1</v>
      </c>
      <c r="E147" s="23">
        <v>3536</v>
      </c>
      <c r="F147" s="23">
        <v>3536</v>
      </c>
      <c r="G147" s="22" t="s">
        <v>53</v>
      </c>
      <c r="H147" s="28">
        <v>762.55</v>
      </c>
      <c r="I147" s="22" t="s">
        <v>317</v>
      </c>
      <c r="J147" s="22" t="s">
        <v>67</v>
      </c>
      <c r="K147" s="22" t="s">
        <v>318</v>
      </c>
      <c r="L147" s="27">
        <f t="shared" si="14"/>
        <v>45869</v>
      </c>
      <c r="M147" s="29">
        <f t="shared" ca="1" si="15"/>
        <v>15</v>
      </c>
      <c r="N147" s="23">
        <f t="shared" ca="1" si="16"/>
        <v>458</v>
      </c>
      <c r="O147" s="24">
        <f t="shared" si="17"/>
        <v>0.21565328054298641</v>
      </c>
      <c r="P147" s="22" t="str">
        <f t="shared" si="18"/>
        <v>Repeat</v>
      </c>
      <c r="Q147" s="22" t="str">
        <f t="shared" si="19"/>
        <v>HEA-0725-03536</v>
      </c>
      <c r="R147" s="22" t="str">
        <f t="shared" si="20"/>
        <v>RS</v>
      </c>
      <c r="S147" s="29">
        <f>IF(AND(OR(FILTER_Demo!$B$3="All",G147=FILTER_Demo!$B$3),OR(FILTER_Demo!$B$4="All",C147=FILTER_Demo!$B$4),F147&gt;=FILTER_Demo!$B$5),1,0)</f>
        <v>0</v>
      </c>
      <c r="T147" s="29" t="str">
        <f>IF(S147=1,SUM($S$2:S147),"")</f>
        <v/>
      </c>
    </row>
    <row r="148" spans="1:20" x14ac:dyDescent="0.3">
      <c r="A148" s="22" t="s">
        <v>370</v>
      </c>
      <c r="B148" s="27">
        <v>45867</v>
      </c>
      <c r="C148" s="22" t="s">
        <v>46</v>
      </c>
      <c r="D148" s="22">
        <v>5</v>
      </c>
      <c r="E148" s="23">
        <v>939</v>
      </c>
      <c r="F148" s="23">
        <v>4695</v>
      </c>
      <c r="G148" s="22" t="s">
        <v>55</v>
      </c>
      <c r="H148" s="28">
        <v>1420.56</v>
      </c>
      <c r="I148" s="22" t="s">
        <v>113</v>
      </c>
      <c r="J148" s="22" t="s">
        <v>65</v>
      </c>
      <c r="K148" s="22" t="s">
        <v>114</v>
      </c>
      <c r="L148" s="27">
        <f t="shared" si="14"/>
        <v>45869</v>
      </c>
      <c r="M148" s="29">
        <f t="shared" ca="1" si="15"/>
        <v>15</v>
      </c>
      <c r="N148" s="23">
        <f t="shared" ca="1" si="16"/>
        <v>458</v>
      </c>
      <c r="O148" s="24">
        <f t="shared" si="17"/>
        <v>0.30256869009584664</v>
      </c>
      <c r="P148" s="22" t="str">
        <f t="shared" si="18"/>
        <v>Repeat</v>
      </c>
      <c r="Q148" s="22" t="str">
        <f t="shared" si="19"/>
        <v>MOU-0725-04695</v>
      </c>
      <c r="R148" s="22" t="str">
        <f t="shared" si="20"/>
        <v>VB</v>
      </c>
      <c r="S148" s="29">
        <f>IF(AND(OR(FILTER_Demo!$B$3="All",G148=FILTER_Demo!$B$3),OR(FILTER_Demo!$B$4="All",C148=FILTER_Demo!$B$4),F148&gt;=FILTER_Demo!$B$5),1,0)</f>
        <v>0</v>
      </c>
      <c r="T148" s="29" t="str">
        <f>IF(S148=1,SUM($S$2:S148),"")</f>
        <v/>
      </c>
    </row>
    <row r="149" spans="1:20" x14ac:dyDescent="0.3">
      <c r="A149" s="22" t="s">
        <v>371</v>
      </c>
      <c r="B149" s="27">
        <v>45870</v>
      </c>
      <c r="C149" s="22" t="s">
        <v>40</v>
      </c>
      <c r="D149" s="22">
        <v>3</v>
      </c>
      <c r="E149" s="23">
        <v>8615</v>
      </c>
      <c r="F149" s="23">
        <v>25845</v>
      </c>
      <c r="G149" s="22" t="s">
        <v>49</v>
      </c>
      <c r="H149" s="28">
        <v>5764.65</v>
      </c>
      <c r="I149" s="22" t="s">
        <v>372</v>
      </c>
      <c r="J149" s="22" t="s">
        <v>68</v>
      </c>
      <c r="K149" s="22" t="s">
        <v>373</v>
      </c>
      <c r="L149" s="27">
        <f t="shared" si="14"/>
        <v>45900</v>
      </c>
      <c r="M149" s="29">
        <f t="shared" ca="1" si="15"/>
        <v>14</v>
      </c>
      <c r="N149" s="23">
        <f t="shared" ca="1" si="16"/>
        <v>455</v>
      </c>
      <c r="O149" s="24">
        <f t="shared" si="17"/>
        <v>0.223047011027278</v>
      </c>
      <c r="P149" s="22" t="str">
        <f t="shared" si="18"/>
        <v>Repeat</v>
      </c>
      <c r="Q149" s="22" t="str">
        <f t="shared" si="19"/>
        <v>SMA-0825-25845</v>
      </c>
      <c r="R149" s="22" t="str">
        <f t="shared" si="20"/>
        <v>RS</v>
      </c>
      <c r="S149" s="29">
        <f>IF(AND(OR(FILTER_Demo!$B$3="All",G149=FILTER_Demo!$B$3),OR(FILTER_Demo!$B$4="All",C149=FILTER_Demo!$B$4),F149&gt;=FILTER_Demo!$B$5),1,0)</f>
        <v>0</v>
      </c>
      <c r="T149" s="29" t="str">
        <f>IF(S149=1,SUM($S$2:S149),"")</f>
        <v/>
      </c>
    </row>
    <row r="150" spans="1:20" x14ac:dyDescent="0.3">
      <c r="A150" s="22" t="s">
        <v>374</v>
      </c>
      <c r="B150" s="27">
        <v>45871</v>
      </c>
      <c r="C150" s="22" t="s">
        <v>39</v>
      </c>
      <c r="D150" s="22">
        <v>1</v>
      </c>
      <c r="E150" s="23">
        <v>17093</v>
      </c>
      <c r="F150" s="23">
        <v>17093</v>
      </c>
      <c r="G150" s="22" t="s">
        <v>55</v>
      </c>
      <c r="H150" s="28">
        <v>2321.35</v>
      </c>
      <c r="I150" s="22" t="s">
        <v>317</v>
      </c>
      <c r="J150" s="22" t="s">
        <v>68</v>
      </c>
      <c r="K150" s="22" t="s">
        <v>318</v>
      </c>
      <c r="L150" s="27">
        <f t="shared" si="14"/>
        <v>45900</v>
      </c>
      <c r="M150" s="29">
        <f t="shared" ca="1" si="15"/>
        <v>14</v>
      </c>
      <c r="N150" s="23">
        <f t="shared" ca="1" si="16"/>
        <v>454</v>
      </c>
      <c r="O150" s="24">
        <f t="shared" si="17"/>
        <v>0.13580705551980343</v>
      </c>
      <c r="P150" s="22" t="str">
        <f t="shared" si="18"/>
        <v>Repeat</v>
      </c>
      <c r="Q150" s="22" t="str">
        <f t="shared" si="19"/>
        <v>TAB-0825-17093</v>
      </c>
      <c r="R150" s="22" t="str">
        <f t="shared" si="20"/>
        <v>RS</v>
      </c>
      <c r="S150" s="29">
        <f>IF(AND(OR(FILTER_Demo!$B$3="All",G150=FILTER_Demo!$B$3),OR(FILTER_Demo!$B$4="All",C150=FILTER_Demo!$B$4),F150&gt;=FILTER_Demo!$B$5),1,0)</f>
        <v>1</v>
      </c>
      <c r="T150" s="29">
        <f>IF(S150=1,SUM($S$2:S150),"")</f>
        <v>13</v>
      </c>
    </row>
    <row r="151" spans="1:20" x14ac:dyDescent="0.3">
      <c r="A151" s="22" t="s">
        <v>375</v>
      </c>
      <c r="B151" s="27">
        <v>45872</v>
      </c>
      <c r="C151" s="22" t="s">
        <v>38</v>
      </c>
      <c r="D151" s="22">
        <v>3</v>
      </c>
      <c r="E151" s="23">
        <v>12667</v>
      </c>
      <c r="F151" s="23">
        <v>38001</v>
      </c>
      <c r="G151" s="22" t="s">
        <v>51</v>
      </c>
      <c r="H151" s="28">
        <v>5711.2</v>
      </c>
      <c r="I151" s="22" t="s">
        <v>346</v>
      </c>
      <c r="J151" s="22" t="s">
        <v>68</v>
      </c>
      <c r="K151" s="22" t="s">
        <v>347</v>
      </c>
      <c r="L151" s="27">
        <f t="shared" si="14"/>
        <v>45900</v>
      </c>
      <c r="M151" s="29">
        <f t="shared" ca="1" si="15"/>
        <v>14</v>
      </c>
      <c r="N151" s="23">
        <f t="shared" ca="1" si="16"/>
        <v>453</v>
      </c>
      <c r="O151" s="24">
        <f t="shared" si="17"/>
        <v>0.15029078182153099</v>
      </c>
      <c r="P151" s="22" t="str">
        <f t="shared" si="18"/>
        <v>Repeat</v>
      </c>
      <c r="Q151" s="22" t="str">
        <f t="shared" si="19"/>
        <v>MON-0825-38001</v>
      </c>
      <c r="R151" s="22" t="str">
        <f t="shared" si="20"/>
        <v>VC</v>
      </c>
      <c r="S151" s="29">
        <f>IF(AND(OR(FILTER_Demo!$B$3="All",G151=FILTER_Demo!$B$3),OR(FILTER_Demo!$B$4="All",C151=FILTER_Demo!$B$4),F151&gt;=FILTER_Demo!$B$5),1,0)</f>
        <v>0</v>
      </c>
      <c r="T151" s="29" t="str">
        <f>IF(S151=1,SUM($S$2:S151),"")</f>
        <v/>
      </c>
    </row>
    <row r="152" spans="1:20" x14ac:dyDescent="0.3">
      <c r="A152" s="22" t="s">
        <v>376</v>
      </c>
      <c r="B152" s="27">
        <v>45872</v>
      </c>
      <c r="C152" s="22" t="s">
        <v>36</v>
      </c>
      <c r="D152" s="22">
        <v>1</v>
      </c>
      <c r="E152" s="23">
        <v>23960</v>
      </c>
      <c r="F152" s="23">
        <v>23960</v>
      </c>
      <c r="G152" s="22" t="s">
        <v>51</v>
      </c>
      <c r="H152" s="28">
        <v>3747.74</v>
      </c>
      <c r="I152" s="22" t="s">
        <v>301</v>
      </c>
      <c r="J152" s="22" t="s">
        <v>66</v>
      </c>
      <c r="K152" s="22" t="s">
        <v>302</v>
      </c>
      <c r="L152" s="27">
        <f t="shared" si="14"/>
        <v>45900</v>
      </c>
      <c r="M152" s="29">
        <f t="shared" ca="1" si="15"/>
        <v>14</v>
      </c>
      <c r="N152" s="23">
        <f t="shared" ca="1" si="16"/>
        <v>453</v>
      </c>
      <c r="O152" s="24">
        <f t="shared" si="17"/>
        <v>0.15641652754590984</v>
      </c>
      <c r="P152" s="22" t="str">
        <f t="shared" si="18"/>
        <v>Repeat</v>
      </c>
      <c r="Q152" s="22" t="str">
        <f t="shared" si="19"/>
        <v>SMA-0825-23960</v>
      </c>
      <c r="R152" s="22" t="str">
        <f t="shared" si="20"/>
        <v>II</v>
      </c>
      <c r="S152" s="29">
        <f>IF(AND(OR(FILTER_Demo!$B$3="All",G152=FILTER_Demo!$B$3),OR(FILTER_Demo!$B$4="All",C152=FILTER_Demo!$B$4),F152&gt;=FILTER_Demo!$B$5),1,0)</f>
        <v>0</v>
      </c>
      <c r="T152" s="29" t="str">
        <f>IF(S152=1,SUM($S$2:S152),"")</f>
        <v/>
      </c>
    </row>
    <row r="153" spans="1:20" x14ac:dyDescent="0.3">
      <c r="A153" s="22" t="s">
        <v>377</v>
      </c>
      <c r="B153" s="27">
        <v>45873</v>
      </c>
      <c r="C153" s="22" t="s">
        <v>45</v>
      </c>
      <c r="D153" s="22">
        <v>1</v>
      </c>
      <c r="E153" s="23">
        <v>1853</v>
      </c>
      <c r="F153" s="23">
        <v>1853</v>
      </c>
      <c r="G153" s="22" t="s">
        <v>53</v>
      </c>
      <c r="H153" s="28">
        <v>428.53</v>
      </c>
      <c r="I153" s="22" t="s">
        <v>195</v>
      </c>
      <c r="J153" s="22" t="s">
        <v>67</v>
      </c>
      <c r="K153" s="22" t="s">
        <v>196</v>
      </c>
      <c r="L153" s="27">
        <f t="shared" si="14"/>
        <v>45900</v>
      </c>
      <c r="M153" s="29">
        <f t="shared" ca="1" si="15"/>
        <v>14</v>
      </c>
      <c r="N153" s="23">
        <f t="shared" ca="1" si="16"/>
        <v>452</v>
      </c>
      <c r="O153" s="24">
        <f t="shared" si="17"/>
        <v>0.23126281705342686</v>
      </c>
      <c r="P153" s="22" t="str">
        <f t="shared" si="18"/>
        <v>Repeat</v>
      </c>
      <c r="Q153" s="22" t="str">
        <f t="shared" si="19"/>
        <v>KEY-0825-01853</v>
      </c>
      <c r="R153" s="22" t="str">
        <f t="shared" si="20"/>
        <v>AK</v>
      </c>
      <c r="S153" s="29">
        <f>IF(AND(OR(FILTER_Demo!$B$3="All",G153=FILTER_Demo!$B$3),OR(FILTER_Demo!$B$4="All",C153=FILTER_Demo!$B$4),F153&gt;=FILTER_Demo!$B$5),1,0)</f>
        <v>0</v>
      </c>
      <c r="T153" s="29" t="str">
        <f>IF(S153=1,SUM($S$2:S153),"")</f>
        <v/>
      </c>
    </row>
    <row r="154" spans="1:20" x14ac:dyDescent="0.3">
      <c r="A154" s="22" t="s">
        <v>378</v>
      </c>
      <c r="B154" s="27">
        <v>45874</v>
      </c>
      <c r="C154" s="22" t="s">
        <v>39</v>
      </c>
      <c r="D154" s="22">
        <v>4</v>
      </c>
      <c r="E154" s="23">
        <v>19246</v>
      </c>
      <c r="F154" s="23">
        <v>76984</v>
      </c>
      <c r="G154" s="22" t="s">
        <v>52</v>
      </c>
      <c r="H154" s="28">
        <v>6869.27</v>
      </c>
      <c r="I154" s="22" t="s">
        <v>110</v>
      </c>
      <c r="J154" s="22" t="s">
        <v>64</v>
      </c>
      <c r="K154" s="22" t="s">
        <v>111</v>
      </c>
      <c r="L154" s="27">
        <f t="shared" si="14"/>
        <v>45900</v>
      </c>
      <c r="M154" s="29">
        <f t="shared" ca="1" si="15"/>
        <v>14</v>
      </c>
      <c r="N154" s="23">
        <f t="shared" ca="1" si="16"/>
        <v>451</v>
      </c>
      <c r="O154" s="24">
        <f t="shared" si="17"/>
        <v>8.9229839966746341E-2</v>
      </c>
      <c r="P154" s="22" t="str">
        <f t="shared" si="18"/>
        <v>Repeat</v>
      </c>
      <c r="Q154" s="22" t="str">
        <f t="shared" si="19"/>
        <v>TAB-0825-76984</v>
      </c>
      <c r="R154" s="22" t="str">
        <f t="shared" si="20"/>
        <v>RS</v>
      </c>
      <c r="S154" s="29">
        <f>IF(AND(OR(FILTER_Demo!$B$3="All",G154=FILTER_Demo!$B$3),OR(FILTER_Demo!$B$4="All",C154=FILTER_Demo!$B$4),F154&gt;=FILTER_Demo!$B$5),1,0)</f>
        <v>1</v>
      </c>
      <c r="T154" s="29">
        <f>IF(S154=1,SUM($S$2:S154),"")</f>
        <v>14</v>
      </c>
    </row>
    <row r="155" spans="1:20" x14ac:dyDescent="0.3">
      <c r="A155" s="22" t="s">
        <v>379</v>
      </c>
      <c r="B155" s="27">
        <v>45875</v>
      </c>
      <c r="C155" s="22" t="s">
        <v>38</v>
      </c>
      <c r="D155" s="22">
        <v>4</v>
      </c>
      <c r="E155" s="23">
        <v>13170</v>
      </c>
      <c r="F155" s="23">
        <v>52680</v>
      </c>
      <c r="G155" s="22" t="s">
        <v>52</v>
      </c>
      <c r="H155" s="28">
        <v>6843.94</v>
      </c>
      <c r="I155" s="22" t="s">
        <v>204</v>
      </c>
      <c r="J155" s="22" t="s">
        <v>66</v>
      </c>
      <c r="K155" s="22" t="s">
        <v>205</v>
      </c>
      <c r="L155" s="27">
        <f t="shared" si="14"/>
        <v>45900</v>
      </c>
      <c r="M155" s="29">
        <f t="shared" ca="1" si="15"/>
        <v>14</v>
      </c>
      <c r="N155" s="23">
        <f t="shared" ca="1" si="16"/>
        <v>450</v>
      </c>
      <c r="O155" s="24">
        <f t="shared" si="17"/>
        <v>0.12991533788914197</v>
      </c>
      <c r="P155" s="22" t="str">
        <f t="shared" si="18"/>
        <v>Repeat</v>
      </c>
      <c r="Q155" s="22" t="str">
        <f t="shared" si="19"/>
        <v>MON-0825-52680</v>
      </c>
      <c r="R155" s="22" t="str">
        <f t="shared" si="20"/>
        <v>AI</v>
      </c>
      <c r="S155" s="29">
        <f>IF(AND(OR(FILTER_Demo!$B$3="All",G155=FILTER_Demo!$B$3),OR(FILTER_Demo!$B$4="All",C155=FILTER_Demo!$B$4),F155&gt;=FILTER_Demo!$B$5),1,0)</f>
        <v>0</v>
      </c>
      <c r="T155" s="29" t="str">
        <f>IF(S155=1,SUM($S$2:S155),"")</f>
        <v/>
      </c>
    </row>
    <row r="156" spans="1:20" x14ac:dyDescent="0.3">
      <c r="A156" s="22" t="s">
        <v>380</v>
      </c>
      <c r="B156" s="27">
        <v>45878</v>
      </c>
      <c r="C156" s="22" t="s">
        <v>38</v>
      </c>
      <c r="D156" s="22">
        <v>3</v>
      </c>
      <c r="E156" s="23">
        <v>11257</v>
      </c>
      <c r="F156" s="23">
        <v>33771</v>
      </c>
      <c r="G156" s="22" t="s">
        <v>52</v>
      </c>
      <c r="H156" s="28">
        <v>3704.45</v>
      </c>
      <c r="I156" s="22" t="s">
        <v>92</v>
      </c>
      <c r="J156" s="22" t="s">
        <v>67</v>
      </c>
      <c r="K156" s="22" t="s">
        <v>93</v>
      </c>
      <c r="L156" s="27">
        <f t="shared" si="14"/>
        <v>45900</v>
      </c>
      <c r="M156" s="29">
        <f t="shared" ca="1" si="15"/>
        <v>14</v>
      </c>
      <c r="N156" s="23">
        <f t="shared" ca="1" si="16"/>
        <v>447</v>
      </c>
      <c r="O156" s="24">
        <f t="shared" si="17"/>
        <v>0.10969322791744396</v>
      </c>
      <c r="P156" s="22" t="str">
        <f t="shared" si="18"/>
        <v>Repeat</v>
      </c>
      <c r="Q156" s="22" t="str">
        <f t="shared" si="19"/>
        <v>MON-0825-33771</v>
      </c>
      <c r="R156" s="22" t="str">
        <f t="shared" si="20"/>
        <v>PI</v>
      </c>
      <c r="S156" s="29">
        <f>IF(AND(OR(FILTER_Demo!$B$3="All",G156=FILTER_Demo!$B$3),OR(FILTER_Demo!$B$4="All",C156=FILTER_Demo!$B$4),F156&gt;=FILTER_Demo!$B$5),1,0)</f>
        <v>0</v>
      </c>
      <c r="T156" s="29" t="str">
        <f>IF(S156=1,SUM($S$2:S156),"")</f>
        <v/>
      </c>
    </row>
    <row r="157" spans="1:20" x14ac:dyDescent="0.3">
      <c r="A157" s="22" t="s">
        <v>381</v>
      </c>
      <c r="B157" s="27">
        <v>45878</v>
      </c>
      <c r="C157" s="22" t="s">
        <v>46</v>
      </c>
      <c r="D157" s="22">
        <v>2</v>
      </c>
      <c r="E157" s="23">
        <v>810</v>
      </c>
      <c r="F157" s="23">
        <v>1620</v>
      </c>
      <c r="G157" s="22" t="s">
        <v>55</v>
      </c>
      <c r="H157" s="28">
        <v>451.48</v>
      </c>
      <c r="I157" s="22" t="s">
        <v>225</v>
      </c>
      <c r="J157" s="22" t="s">
        <v>66</v>
      </c>
      <c r="K157" s="22" t="s">
        <v>226</v>
      </c>
      <c r="L157" s="27">
        <f t="shared" si="14"/>
        <v>45900</v>
      </c>
      <c r="M157" s="29">
        <f t="shared" ca="1" si="15"/>
        <v>14</v>
      </c>
      <c r="N157" s="23">
        <f t="shared" ca="1" si="16"/>
        <v>447</v>
      </c>
      <c r="O157" s="24">
        <f t="shared" si="17"/>
        <v>0.27869135802469136</v>
      </c>
      <c r="P157" s="22" t="str">
        <f t="shared" si="18"/>
        <v>Repeat</v>
      </c>
      <c r="Q157" s="22" t="str">
        <f t="shared" si="19"/>
        <v>MOU-0825-01620</v>
      </c>
      <c r="R157" s="22" t="str">
        <f t="shared" si="20"/>
        <v>MM</v>
      </c>
      <c r="S157" s="29">
        <f>IF(AND(OR(FILTER_Demo!$B$3="All",G157=FILTER_Demo!$B$3),OR(FILTER_Demo!$B$4="All",C157=FILTER_Demo!$B$4),F157&gt;=FILTER_Demo!$B$5),1,0)</f>
        <v>0</v>
      </c>
      <c r="T157" s="29" t="str">
        <f>IF(S157=1,SUM($S$2:S157),"")</f>
        <v/>
      </c>
    </row>
    <row r="158" spans="1:20" x14ac:dyDescent="0.3">
      <c r="A158" s="22" t="s">
        <v>382</v>
      </c>
      <c r="B158" s="27">
        <v>45880</v>
      </c>
      <c r="C158" s="22" t="s">
        <v>45</v>
      </c>
      <c r="D158" s="22">
        <v>2</v>
      </c>
      <c r="E158" s="23">
        <v>1918</v>
      </c>
      <c r="F158" s="23">
        <v>3836</v>
      </c>
      <c r="G158" s="22" t="s">
        <v>51</v>
      </c>
      <c r="H158" s="28">
        <v>1153.5999999999999</v>
      </c>
      <c r="I158" s="22" t="s">
        <v>135</v>
      </c>
      <c r="J158" s="22" t="s">
        <v>66</v>
      </c>
      <c r="K158" s="22" t="s">
        <v>136</v>
      </c>
      <c r="L158" s="27">
        <f t="shared" si="14"/>
        <v>45900</v>
      </c>
      <c r="M158" s="29">
        <f t="shared" ca="1" si="15"/>
        <v>14</v>
      </c>
      <c r="N158" s="23">
        <f t="shared" ca="1" si="16"/>
        <v>445</v>
      </c>
      <c r="O158" s="24">
        <f t="shared" si="17"/>
        <v>0.30072992700729922</v>
      </c>
      <c r="P158" s="22" t="str">
        <f t="shared" si="18"/>
        <v>Repeat</v>
      </c>
      <c r="Q158" s="22" t="str">
        <f t="shared" si="19"/>
        <v>KEY-0825-03836</v>
      </c>
      <c r="R158" s="22" t="str">
        <f t="shared" si="20"/>
        <v>SM</v>
      </c>
      <c r="S158" s="29">
        <f>IF(AND(OR(FILTER_Demo!$B$3="All",G158=FILTER_Demo!$B$3),OR(FILTER_Demo!$B$4="All",C158=FILTER_Demo!$B$4),F158&gt;=FILTER_Demo!$B$5),1,0)</f>
        <v>0</v>
      </c>
      <c r="T158" s="29" t="str">
        <f>IF(S158=1,SUM($S$2:S158),"")</f>
        <v/>
      </c>
    </row>
    <row r="159" spans="1:20" x14ac:dyDescent="0.3">
      <c r="A159" s="22" t="s">
        <v>383</v>
      </c>
      <c r="B159" s="27">
        <v>45881</v>
      </c>
      <c r="C159" s="22" t="s">
        <v>36</v>
      </c>
      <c r="D159" s="22">
        <v>2</v>
      </c>
      <c r="E159" s="23">
        <v>21321</v>
      </c>
      <c r="F159" s="23">
        <v>42642</v>
      </c>
      <c r="G159" s="22" t="s">
        <v>55</v>
      </c>
      <c r="H159" s="28">
        <v>6338.43</v>
      </c>
      <c r="I159" s="22" t="s">
        <v>384</v>
      </c>
      <c r="J159" s="22" t="s">
        <v>64</v>
      </c>
      <c r="K159" s="22" t="s">
        <v>385</v>
      </c>
      <c r="L159" s="27">
        <f t="shared" si="14"/>
        <v>45900</v>
      </c>
      <c r="M159" s="29">
        <f t="shared" ca="1" si="15"/>
        <v>14</v>
      </c>
      <c r="N159" s="23">
        <f t="shared" ca="1" si="16"/>
        <v>444</v>
      </c>
      <c r="O159" s="24">
        <f t="shared" si="17"/>
        <v>0.14864288729421699</v>
      </c>
      <c r="P159" s="22" t="str">
        <f t="shared" si="18"/>
        <v>Repeat</v>
      </c>
      <c r="Q159" s="22" t="str">
        <f t="shared" si="19"/>
        <v>SMA-0825-42642</v>
      </c>
      <c r="R159" s="22" t="str">
        <f t="shared" si="20"/>
        <v>RS</v>
      </c>
      <c r="S159" s="29">
        <f>IF(AND(OR(FILTER_Demo!$B$3="All",G159=FILTER_Demo!$B$3),OR(FILTER_Demo!$B$4="All",C159=FILTER_Demo!$B$4),F159&gt;=FILTER_Demo!$B$5),1,0)</f>
        <v>0</v>
      </c>
      <c r="T159" s="29" t="str">
        <f>IF(S159=1,SUM($S$2:S159),"")</f>
        <v/>
      </c>
    </row>
    <row r="160" spans="1:20" x14ac:dyDescent="0.3">
      <c r="A160" s="22" t="s">
        <v>386</v>
      </c>
      <c r="B160" s="27">
        <v>45881</v>
      </c>
      <c r="C160" s="22" t="s">
        <v>46</v>
      </c>
      <c r="D160" s="22">
        <v>4</v>
      </c>
      <c r="E160" s="23">
        <v>844</v>
      </c>
      <c r="F160" s="23">
        <v>3376</v>
      </c>
      <c r="G160" s="22" t="s">
        <v>49</v>
      </c>
      <c r="H160" s="28">
        <v>858.98</v>
      </c>
      <c r="I160" s="22" t="s">
        <v>135</v>
      </c>
      <c r="J160" s="22" t="s">
        <v>68</v>
      </c>
      <c r="K160" s="22" t="s">
        <v>136</v>
      </c>
      <c r="L160" s="27">
        <f t="shared" si="14"/>
        <v>45900</v>
      </c>
      <c r="M160" s="29">
        <f t="shared" ca="1" si="15"/>
        <v>14</v>
      </c>
      <c r="N160" s="23">
        <f t="shared" ca="1" si="16"/>
        <v>444</v>
      </c>
      <c r="O160" s="24">
        <f t="shared" si="17"/>
        <v>0.25443720379146922</v>
      </c>
      <c r="P160" s="22" t="str">
        <f t="shared" si="18"/>
        <v>Repeat</v>
      </c>
      <c r="Q160" s="22" t="str">
        <f t="shared" si="19"/>
        <v>MOU-0825-03376</v>
      </c>
      <c r="R160" s="22" t="str">
        <f t="shared" si="20"/>
        <v>SM</v>
      </c>
      <c r="S160" s="29">
        <f>IF(AND(OR(FILTER_Demo!$B$3="All",G160=FILTER_Demo!$B$3),OR(FILTER_Demo!$B$4="All",C160=FILTER_Demo!$B$4),F160&gt;=FILTER_Demo!$B$5),1,0)</f>
        <v>0</v>
      </c>
      <c r="T160" s="29" t="str">
        <f>IF(S160=1,SUM($S$2:S160),"")</f>
        <v/>
      </c>
    </row>
    <row r="161" spans="1:20" x14ac:dyDescent="0.3">
      <c r="A161" s="22" t="s">
        <v>387</v>
      </c>
      <c r="B161" s="27">
        <v>45881</v>
      </c>
      <c r="C161" s="22" t="s">
        <v>44</v>
      </c>
      <c r="D161" s="22">
        <v>3</v>
      </c>
      <c r="E161" s="23">
        <v>2821</v>
      </c>
      <c r="F161" s="23">
        <v>8463</v>
      </c>
      <c r="G161" s="22" t="s">
        <v>55</v>
      </c>
      <c r="H161" s="28">
        <v>1847.89</v>
      </c>
      <c r="I161" s="22" t="s">
        <v>184</v>
      </c>
      <c r="J161" s="22" t="s">
        <v>66</v>
      </c>
      <c r="K161" s="22" t="s">
        <v>185</v>
      </c>
      <c r="L161" s="27">
        <f t="shared" si="14"/>
        <v>45900</v>
      </c>
      <c r="M161" s="29">
        <f t="shared" ca="1" si="15"/>
        <v>14</v>
      </c>
      <c r="N161" s="23">
        <f t="shared" ca="1" si="16"/>
        <v>444</v>
      </c>
      <c r="O161" s="24">
        <f t="shared" si="17"/>
        <v>0.21834928512347868</v>
      </c>
      <c r="P161" s="22" t="str">
        <f t="shared" si="18"/>
        <v>Repeat</v>
      </c>
      <c r="Q161" s="22" t="str">
        <f t="shared" si="19"/>
        <v>WEB-0825-08463</v>
      </c>
      <c r="R161" s="22" t="str">
        <f t="shared" si="20"/>
        <v>MS</v>
      </c>
      <c r="S161" s="29">
        <f>IF(AND(OR(FILTER_Demo!$B$3="All",G161=FILTER_Demo!$B$3),OR(FILTER_Demo!$B$4="All",C161=FILTER_Demo!$B$4),F161&gt;=FILTER_Demo!$B$5),1,0)</f>
        <v>0</v>
      </c>
      <c r="T161" s="29" t="str">
        <f>IF(S161=1,SUM($S$2:S161),"")</f>
        <v/>
      </c>
    </row>
    <row r="162" spans="1:20" x14ac:dyDescent="0.3">
      <c r="A162" s="22" t="s">
        <v>388</v>
      </c>
      <c r="B162" s="27">
        <v>45882</v>
      </c>
      <c r="C162" s="22" t="s">
        <v>41</v>
      </c>
      <c r="D162" s="22">
        <v>2</v>
      </c>
      <c r="E162" s="23">
        <v>8624</v>
      </c>
      <c r="F162" s="23">
        <v>17248</v>
      </c>
      <c r="G162" s="22" t="s">
        <v>55</v>
      </c>
      <c r="H162" s="28">
        <v>3117.79</v>
      </c>
      <c r="I162" s="22" t="s">
        <v>135</v>
      </c>
      <c r="J162" s="22" t="s">
        <v>68</v>
      </c>
      <c r="K162" s="22" t="s">
        <v>136</v>
      </c>
      <c r="L162" s="27">
        <f t="shared" si="14"/>
        <v>45900</v>
      </c>
      <c r="M162" s="29">
        <f t="shared" ca="1" si="15"/>
        <v>14</v>
      </c>
      <c r="N162" s="23">
        <f t="shared" ca="1" si="16"/>
        <v>443</v>
      </c>
      <c r="O162" s="24">
        <f t="shared" si="17"/>
        <v>0.18076240723562151</v>
      </c>
      <c r="P162" s="22" t="str">
        <f t="shared" si="18"/>
        <v>Repeat</v>
      </c>
      <c r="Q162" s="22" t="str">
        <f t="shared" si="19"/>
        <v>PRI-0825-17248</v>
      </c>
      <c r="R162" s="22" t="str">
        <f t="shared" si="20"/>
        <v>SM</v>
      </c>
      <c r="S162" s="29">
        <f>IF(AND(OR(FILTER_Demo!$B$3="All",G162=FILTER_Demo!$B$3),OR(FILTER_Demo!$B$4="All",C162=FILTER_Demo!$B$4),F162&gt;=FILTER_Demo!$B$5),1,0)</f>
        <v>0</v>
      </c>
      <c r="T162" s="29" t="str">
        <f>IF(S162=1,SUM($S$2:S162),"")</f>
        <v/>
      </c>
    </row>
    <row r="163" spans="1:20" x14ac:dyDescent="0.3">
      <c r="A163" s="22" t="s">
        <v>389</v>
      </c>
      <c r="B163" s="27">
        <v>45884</v>
      </c>
      <c r="C163" s="22" t="s">
        <v>43</v>
      </c>
      <c r="D163" s="22">
        <v>1</v>
      </c>
      <c r="E163" s="23">
        <v>3325</v>
      </c>
      <c r="F163" s="23">
        <v>3325</v>
      </c>
      <c r="G163" s="22" t="s">
        <v>55</v>
      </c>
      <c r="H163" s="28">
        <v>971.99</v>
      </c>
      <c r="I163" s="22" t="s">
        <v>107</v>
      </c>
      <c r="J163" s="22" t="s">
        <v>64</v>
      </c>
      <c r="K163" s="22" t="s">
        <v>108</v>
      </c>
      <c r="L163" s="27">
        <f t="shared" si="14"/>
        <v>45900</v>
      </c>
      <c r="M163" s="29">
        <f t="shared" ca="1" si="15"/>
        <v>14</v>
      </c>
      <c r="N163" s="23">
        <f t="shared" ca="1" si="16"/>
        <v>441</v>
      </c>
      <c r="O163" s="24">
        <f t="shared" si="17"/>
        <v>0.29232781954887216</v>
      </c>
      <c r="P163" s="22" t="str">
        <f t="shared" si="18"/>
        <v>Repeat</v>
      </c>
      <c r="Q163" s="22" t="str">
        <f t="shared" si="19"/>
        <v>HEA-0825-03325</v>
      </c>
      <c r="R163" s="22" t="str">
        <f t="shared" si="20"/>
        <v>VM</v>
      </c>
      <c r="S163" s="29">
        <f>IF(AND(OR(FILTER_Demo!$B$3="All",G163=FILTER_Demo!$B$3),OR(FILTER_Demo!$B$4="All",C163=FILTER_Demo!$B$4),F163&gt;=FILTER_Demo!$B$5),1,0)</f>
        <v>0</v>
      </c>
      <c r="T163" s="29" t="str">
        <f>IF(S163=1,SUM($S$2:S163),"")</f>
        <v/>
      </c>
    </row>
    <row r="164" spans="1:20" x14ac:dyDescent="0.3">
      <c r="A164" s="22" t="s">
        <v>390</v>
      </c>
      <c r="B164" s="27">
        <v>45884</v>
      </c>
      <c r="C164" s="22" t="s">
        <v>45</v>
      </c>
      <c r="D164" s="22">
        <v>3</v>
      </c>
      <c r="E164" s="23">
        <v>1849</v>
      </c>
      <c r="F164" s="23">
        <v>5547</v>
      </c>
      <c r="G164" s="22" t="s">
        <v>55</v>
      </c>
      <c r="H164" s="28">
        <v>1421.12</v>
      </c>
      <c r="I164" s="22" t="s">
        <v>92</v>
      </c>
      <c r="J164" s="22" t="s">
        <v>68</v>
      </c>
      <c r="K164" s="22" t="s">
        <v>93</v>
      </c>
      <c r="L164" s="27">
        <f t="shared" si="14"/>
        <v>45900</v>
      </c>
      <c r="M164" s="29">
        <f t="shared" ca="1" si="15"/>
        <v>14</v>
      </c>
      <c r="N164" s="23">
        <f t="shared" ca="1" si="16"/>
        <v>441</v>
      </c>
      <c r="O164" s="24">
        <f t="shared" si="17"/>
        <v>0.2561961420587705</v>
      </c>
      <c r="P164" s="22" t="str">
        <f t="shared" si="18"/>
        <v>Repeat</v>
      </c>
      <c r="Q164" s="22" t="str">
        <f t="shared" si="19"/>
        <v>KEY-0825-05547</v>
      </c>
      <c r="R164" s="22" t="str">
        <f t="shared" si="20"/>
        <v>PI</v>
      </c>
      <c r="S164" s="29">
        <f>IF(AND(OR(FILTER_Demo!$B$3="All",G164=FILTER_Demo!$B$3),OR(FILTER_Demo!$B$4="All",C164=FILTER_Demo!$B$4),F164&gt;=FILTER_Demo!$B$5),1,0)</f>
        <v>0</v>
      </c>
      <c r="T164" s="29" t="str">
        <f>IF(S164=1,SUM($S$2:S164),"")</f>
        <v/>
      </c>
    </row>
    <row r="165" spans="1:20" x14ac:dyDescent="0.3">
      <c r="A165" s="22" t="s">
        <v>391</v>
      </c>
      <c r="B165" s="27">
        <v>45885</v>
      </c>
      <c r="C165" s="22" t="s">
        <v>39</v>
      </c>
      <c r="D165" s="22">
        <v>1</v>
      </c>
      <c r="E165" s="23">
        <v>18784</v>
      </c>
      <c r="F165" s="23">
        <v>18784</v>
      </c>
      <c r="G165" s="22" t="s">
        <v>52</v>
      </c>
      <c r="H165" s="28">
        <v>1815.75</v>
      </c>
      <c r="I165" s="22" t="s">
        <v>214</v>
      </c>
      <c r="J165" s="22" t="s">
        <v>64</v>
      </c>
      <c r="K165" s="22" t="s">
        <v>215</v>
      </c>
      <c r="L165" s="27">
        <f t="shared" si="14"/>
        <v>45900</v>
      </c>
      <c r="M165" s="29">
        <f t="shared" ca="1" si="15"/>
        <v>14</v>
      </c>
      <c r="N165" s="23">
        <f t="shared" ca="1" si="16"/>
        <v>440</v>
      </c>
      <c r="O165" s="24">
        <f t="shared" si="17"/>
        <v>9.6664714650766606E-2</v>
      </c>
      <c r="P165" s="22" t="str">
        <f t="shared" si="18"/>
        <v>Repeat</v>
      </c>
      <c r="Q165" s="22" t="str">
        <f t="shared" si="19"/>
        <v>TAB-0825-18784</v>
      </c>
      <c r="R165" s="22" t="str">
        <f t="shared" si="20"/>
        <v>AK</v>
      </c>
      <c r="S165" s="29">
        <f>IF(AND(OR(FILTER_Demo!$B$3="All",G165=FILTER_Demo!$B$3),OR(FILTER_Demo!$B$4="All",C165=FILTER_Demo!$B$4),F165&gt;=FILTER_Demo!$B$5),1,0)</f>
        <v>1</v>
      </c>
      <c r="T165" s="29">
        <f>IF(S165=1,SUM($S$2:S165),"")</f>
        <v>15</v>
      </c>
    </row>
    <row r="166" spans="1:20" x14ac:dyDescent="0.3">
      <c r="A166" s="22" t="s">
        <v>392</v>
      </c>
      <c r="B166" s="27">
        <v>45888</v>
      </c>
      <c r="C166" s="22" t="s">
        <v>45</v>
      </c>
      <c r="D166" s="22">
        <v>2</v>
      </c>
      <c r="E166" s="23">
        <v>1800</v>
      </c>
      <c r="F166" s="23">
        <v>3600</v>
      </c>
      <c r="G166" s="22" t="s">
        <v>49</v>
      </c>
      <c r="H166" s="28">
        <v>1172.78</v>
      </c>
      <c r="I166" s="22" t="s">
        <v>393</v>
      </c>
      <c r="J166" s="22" t="s">
        <v>64</v>
      </c>
      <c r="K166" s="22" t="s">
        <v>394</v>
      </c>
      <c r="L166" s="27">
        <f t="shared" si="14"/>
        <v>45900</v>
      </c>
      <c r="M166" s="29">
        <f t="shared" ca="1" si="15"/>
        <v>14</v>
      </c>
      <c r="N166" s="23">
        <f t="shared" ca="1" si="16"/>
        <v>437</v>
      </c>
      <c r="O166" s="24">
        <f t="shared" si="17"/>
        <v>0.32577222222222224</v>
      </c>
      <c r="P166" s="22" t="str">
        <f t="shared" si="18"/>
        <v>Repeat</v>
      </c>
      <c r="Q166" s="22" t="str">
        <f t="shared" si="19"/>
        <v>KEY-0825-03600</v>
      </c>
      <c r="R166" s="22" t="str">
        <f t="shared" si="20"/>
        <v>RP</v>
      </c>
      <c r="S166" s="29">
        <f>IF(AND(OR(FILTER_Demo!$B$3="All",G166=FILTER_Demo!$B$3),OR(FILTER_Demo!$B$4="All",C166=FILTER_Demo!$B$4),F166&gt;=FILTER_Demo!$B$5),1,0)</f>
        <v>0</v>
      </c>
      <c r="T166" s="29" t="str">
        <f>IF(S166=1,SUM($S$2:S166),"")</f>
        <v/>
      </c>
    </row>
    <row r="167" spans="1:20" x14ac:dyDescent="0.3">
      <c r="A167" s="22" t="s">
        <v>395</v>
      </c>
      <c r="B167" s="27">
        <v>45890</v>
      </c>
      <c r="C167" s="22" t="s">
        <v>39</v>
      </c>
      <c r="D167" s="22">
        <v>1</v>
      </c>
      <c r="E167" s="23">
        <v>17237</v>
      </c>
      <c r="F167" s="23">
        <v>17237</v>
      </c>
      <c r="G167" s="22" t="s">
        <v>49</v>
      </c>
      <c r="H167" s="28">
        <v>1866.28</v>
      </c>
      <c r="I167" s="22" t="s">
        <v>298</v>
      </c>
      <c r="J167" s="22" t="s">
        <v>66</v>
      </c>
      <c r="K167" s="22" t="s">
        <v>299</v>
      </c>
      <c r="L167" s="27">
        <f t="shared" si="14"/>
        <v>45900</v>
      </c>
      <c r="M167" s="29">
        <f t="shared" ca="1" si="15"/>
        <v>14</v>
      </c>
      <c r="N167" s="23">
        <f t="shared" ca="1" si="16"/>
        <v>435</v>
      </c>
      <c r="O167" s="24">
        <f t="shared" si="17"/>
        <v>0.10827174102221965</v>
      </c>
      <c r="P167" s="22" t="str">
        <f t="shared" si="18"/>
        <v>Repeat</v>
      </c>
      <c r="Q167" s="22" t="str">
        <f t="shared" si="19"/>
        <v>TAB-0825-17237</v>
      </c>
      <c r="R167" s="22" t="str">
        <f t="shared" si="20"/>
        <v>AP</v>
      </c>
      <c r="S167" s="29">
        <f>IF(AND(OR(FILTER_Demo!$B$3="All",G167=FILTER_Demo!$B$3),OR(FILTER_Demo!$B$4="All",C167=FILTER_Demo!$B$4),F167&gt;=FILTER_Demo!$B$5),1,0)</f>
        <v>1</v>
      </c>
      <c r="T167" s="29">
        <f>IF(S167=1,SUM($S$2:S167),"")</f>
        <v>16</v>
      </c>
    </row>
    <row r="168" spans="1:20" x14ac:dyDescent="0.3">
      <c r="A168" s="22" t="s">
        <v>396</v>
      </c>
      <c r="B168" s="27">
        <v>45890</v>
      </c>
      <c r="C168" s="22" t="s">
        <v>36</v>
      </c>
      <c r="D168" s="22">
        <v>3</v>
      </c>
      <c r="E168" s="23">
        <v>19861</v>
      </c>
      <c r="F168" s="23">
        <v>59583</v>
      </c>
      <c r="G168" s="22" t="s">
        <v>52</v>
      </c>
      <c r="H168" s="28">
        <v>7367.87</v>
      </c>
      <c r="I168" s="22" t="s">
        <v>248</v>
      </c>
      <c r="J168" s="22" t="s">
        <v>68</v>
      </c>
      <c r="K168" s="22" t="s">
        <v>249</v>
      </c>
      <c r="L168" s="27">
        <f t="shared" si="14"/>
        <v>45900</v>
      </c>
      <c r="M168" s="29">
        <f t="shared" ca="1" si="15"/>
        <v>14</v>
      </c>
      <c r="N168" s="23">
        <f t="shared" ca="1" si="16"/>
        <v>435</v>
      </c>
      <c r="O168" s="24">
        <f t="shared" si="17"/>
        <v>0.1236572512293775</v>
      </c>
      <c r="P168" s="22" t="str">
        <f t="shared" si="18"/>
        <v>Repeat</v>
      </c>
      <c r="Q168" s="22" t="str">
        <f t="shared" si="19"/>
        <v>SMA-0825-59583</v>
      </c>
      <c r="R168" s="22" t="str">
        <f t="shared" si="20"/>
        <v>PD</v>
      </c>
      <c r="S168" s="29">
        <f>IF(AND(OR(FILTER_Demo!$B$3="All",G168=FILTER_Demo!$B$3),OR(FILTER_Demo!$B$4="All",C168=FILTER_Demo!$B$4),F168&gt;=FILTER_Demo!$B$5),1,0)</f>
        <v>0</v>
      </c>
      <c r="T168" s="29" t="str">
        <f>IF(S168=1,SUM($S$2:S168),"")</f>
        <v/>
      </c>
    </row>
    <row r="169" spans="1:20" x14ac:dyDescent="0.3">
      <c r="A169" s="22" t="s">
        <v>397</v>
      </c>
      <c r="B169" s="27">
        <v>45890</v>
      </c>
      <c r="C169" s="22" t="s">
        <v>45</v>
      </c>
      <c r="D169" s="22">
        <v>1</v>
      </c>
      <c r="E169" s="23">
        <v>1719</v>
      </c>
      <c r="F169" s="23">
        <v>1719</v>
      </c>
      <c r="G169" s="22" t="s">
        <v>49</v>
      </c>
      <c r="H169" s="28">
        <v>561.79999999999995</v>
      </c>
      <c r="I169" s="22" t="s">
        <v>165</v>
      </c>
      <c r="J169" s="22" t="s">
        <v>68</v>
      </c>
      <c r="K169" s="22" t="s">
        <v>166</v>
      </c>
      <c r="L169" s="27">
        <f t="shared" si="14"/>
        <v>45900</v>
      </c>
      <c r="M169" s="29">
        <f t="shared" ca="1" si="15"/>
        <v>14</v>
      </c>
      <c r="N169" s="23">
        <f t="shared" ca="1" si="16"/>
        <v>435</v>
      </c>
      <c r="O169" s="24">
        <f t="shared" si="17"/>
        <v>0.32681791739383359</v>
      </c>
      <c r="P169" s="22" t="str">
        <f t="shared" si="18"/>
        <v>Repeat</v>
      </c>
      <c r="Q169" s="22" t="str">
        <f t="shared" si="19"/>
        <v>KEY-0825-01719</v>
      </c>
      <c r="R169" s="22" t="str">
        <f t="shared" si="20"/>
        <v>KS</v>
      </c>
      <c r="S169" s="29">
        <f>IF(AND(OR(FILTER_Demo!$B$3="All",G169=FILTER_Demo!$B$3),OR(FILTER_Demo!$B$4="All",C169=FILTER_Demo!$B$4),F169&gt;=FILTER_Demo!$B$5),1,0)</f>
        <v>0</v>
      </c>
      <c r="T169" s="29" t="str">
        <f>IF(S169=1,SUM($S$2:S169),"")</f>
        <v/>
      </c>
    </row>
    <row r="170" spans="1:20" x14ac:dyDescent="0.3">
      <c r="A170" s="22" t="s">
        <v>398</v>
      </c>
      <c r="B170" s="27">
        <v>45895</v>
      </c>
      <c r="C170" s="22" t="s">
        <v>36</v>
      </c>
      <c r="D170" s="22">
        <v>2</v>
      </c>
      <c r="E170" s="23">
        <v>20496</v>
      </c>
      <c r="F170" s="23">
        <v>40992</v>
      </c>
      <c r="G170" s="22" t="s">
        <v>51</v>
      </c>
      <c r="H170" s="28">
        <v>4573.16</v>
      </c>
      <c r="I170" s="22" t="s">
        <v>393</v>
      </c>
      <c r="J170" s="22" t="s">
        <v>68</v>
      </c>
      <c r="K170" s="22" t="s">
        <v>394</v>
      </c>
      <c r="L170" s="27">
        <f t="shared" si="14"/>
        <v>45900</v>
      </c>
      <c r="M170" s="29">
        <f t="shared" ca="1" si="15"/>
        <v>14</v>
      </c>
      <c r="N170" s="23">
        <f t="shared" ca="1" si="16"/>
        <v>430</v>
      </c>
      <c r="O170" s="24">
        <f t="shared" si="17"/>
        <v>0.11156225604996096</v>
      </c>
      <c r="P170" s="22" t="str">
        <f t="shared" si="18"/>
        <v>Repeat</v>
      </c>
      <c r="Q170" s="22" t="str">
        <f t="shared" si="19"/>
        <v>SMA-0825-40992</v>
      </c>
      <c r="R170" s="22" t="str">
        <f t="shared" si="20"/>
        <v>RP</v>
      </c>
      <c r="S170" s="29">
        <f>IF(AND(OR(FILTER_Demo!$B$3="All",G170=FILTER_Demo!$B$3),OR(FILTER_Demo!$B$4="All",C170=FILTER_Demo!$B$4),F170&gt;=FILTER_Demo!$B$5),1,0)</f>
        <v>0</v>
      </c>
      <c r="T170" s="29" t="str">
        <f>IF(S170=1,SUM($S$2:S170),"")</f>
        <v/>
      </c>
    </row>
    <row r="171" spans="1:20" x14ac:dyDescent="0.3">
      <c r="A171" s="22" t="s">
        <v>399</v>
      </c>
      <c r="B171" s="27">
        <v>45899</v>
      </c>
      <c r="C171" s="22" t="s">
        <v>41</v>
      </c>
      <c r="D171" s="22">
        <v>2</v>
      </c>
      <c r="E171" s="23">
        <v>9339</v>
      </c>
      <c r="F171" s="23">
        <v>18678</v>
      </c>
      <c r="G171" s="22" t="s">
        <v>51</v>
      </c>
      <c r="H171" s="28">
        <v>2955.79</v>
      </c>
      <c r="I171" s="22" t="s">
        <v>204</v>
      </c>
      <c r="J171" s="22" t="s">
        <v>68</v>
      </c>
      <c r="K171" s="22" t="s">
        <v>205</v>
      </c>
      <c r="L171" s="27">
        <f t="shared" si="14"/>
        <v>45900</v>
      </c>
      <c r="M171" s="29">
        <f t="shared" ca="1" si="15"/>
        <v>14</v>
      </c>
      <c r="N171" s="23">
        <f t="shared" ca="1" si="16"/>
        <v>426</v>
      </c>
      <c r="O171" s="24">
        <f t="shared" si="17"/>
        <v>0.15824981261377022</v>
      </c>
      <c r="P171" s="22" t="str">
        <f t="shared" si="18"/>
        <v>Repeat</v>
      </c>
      <c r="Q171" s="22" t="str">
        <f t="shared" si="19"/>
        <v>PRI-0825-18678</v>
      </c>
      <c r="R171" s="22" t="str">
        <f t="shared" si="20"/>
        <v>AI</v>
      </c>
      <c r="S171" s="29">
        <f>IF(AND(OR(FILTER_Demo!$B$3="All",G171=FILTER_Demo!$B$3),OR(FILTER_Demo!$B$4="All",C171=FILTER_Demo!$B$4),F171&gt;=FILTER_Demo!$B$5),1,0)</f>
        <v>0</v>
      </c>
      <c r="T171" s="29" t="str">
        <f>IF(S171=1,SUM($S$2:S171),"")</f>
        <v/>
      </c>
    </row>
    <row r="172" spans="1:20" x14ac:dyDescent="0.3">
      <c r="A172" s="22" t="s">
        <v>400</v>
      </c>
      <c r="B172" s="27">
        <v>45906</v>
      </c>
      <c r="C172" s="22" t="s">
        <v>44</v>
      </c>
      <c r="D172" s="22">
        <v>4</v>
      </c>
      <c r="E172" s="23">
        <v>2793</v>
      </c>
      <c r="F172" s="23">
        <v>11172</v>
      </c>
      <c r="G172" s="22" t="s">
        <v>49</v>
      </c>
      <c r="H172" s="28">
        <v>2204.16</v>
      </c>
      <c r="I172" s="22" t="s">
        <v>277</v>
      </c>
      <c r="J172" s="22" t="s">
        <v>66</v>
      </c>
      <c r="K172" s="22" t="s">
        <v>278</v>
      </c>
      <c r="L172" s="27">
        <f t="shared" si="14"/>
        <v>45930</v>
      </c>
      <c r="M172" s="29">
        <f t="shared" ca="1" si="15"/>
        <v>13</v>
      </c>
      <c r="N172" s="23">
        <f t="shared" ca="1" si="16"/>
        <v>419</v>
      </c>
      <c r="O172" s="24">
        <f t="shared" si="17"/>
        <v>0.19729323308270674</v>
      </c>
      <c r="P172" s="22" t="str">
        <f t="shared" si="18"/>
        <v>Repeat</v>
      </c>
      <c r="Q172" s="22" t="str">
        <f t="shared" si="19"/>
        <v>WEB-0925-11172</v>
      </c>
      <c r="R172" s="22" t="str">
        <f t="shared" si="20"/>
        <v>IR</v>
      </c>
      <c r="S172" s="29">
        <f>IF(AND(OR(FILTER_Demo!$B$3="All",G172=FILTER_Demo!$B$3),OR(FILTER_Demo!$B$4="All",C172=FILTER_Demo!$B$4),F172&gt;=FILTER_Demo!$B$5),1,0)</f>
        <v>0</v>
      </c>
      <c r="T172" s="29" t="str">
        <f>IF(S172=1,SUM($S$2:S172),"")</f>
        <v/>
      </c>
    </row>
    <row r="173" spans="1:20" x14ac:dyDescent="0.3">
      <c r="A173" s="22" t="s">
        <v>401</v>
      </c>
      <c r="B173" s="27">
        <v>45907</v>
      </c>
      <c r="C173" s="22" t="s">
        <v>46</v>
      </c>
      <c r="D173" s="22">
        <v>1</v>
      </c>
      <c r="E173" s="23">
        <v>899</v>
      </c>
      <c r="F173" s="23">
        <v>899</v>
      </c>
      <c r="G173" s="22" t="s">
        <v>51</v>
      </c>
      <c r="H173" s="28">
        <v>253.97</v>
      </c>
      <c r="I173" s="22" t="s">
        <v>339</v>
      </c>
      <c r="J173" s="22" t="s">
        <v>66</v>
      </c>
      <c r="K173" s="22" t="s">
        <v>340</v>
      </c>
      <c r="L173" s="27">
        <f t="shared" si="14"/>
        <v>45930</v>
      </c>
      <c r="M173" s="29">
        <f t="shared" ca="1" si="15"/>
        <v>13</v>
      </c>
      <c r="N173" s="23">
        <f t="shared" ca="1" si="16"/>
        <v>418</v>
      </c>
      <c r="O173" s="24">
        <f t="shared" si="17"/>
        <v>0.2825027808676307</v>
      </c>
      <c r="P173" s="22" t="str">
        <f t="shared" si="18"/>
        <v>Repeat</v>
      </c>
      <c r="Q173" s="22" t="str">
        <f t="shared" si="19"/>
        <v>MOU-0925-00899</v>
      </c>
      <c r="R173" s="22" t="str">
        <f t="shared" si="20"/>
        <v>MG</v>
      </c>
      <c r="S173" s="29">
        <f>IF(AND(OR(FILTER_Demo!$B$3="All",G173=FILTER_Demo!$B$3),OR(FILTER_Demo!$B$4="All",C173=FILTER_Demo!$B$4),F173&gt;=FILTER_Demo!$B$5),1,0)</f>
        <v>0</v>
      </c>
      <c r="T173" s="29" t="str">
        <f>IF(S173=1,SUM($S$2:S173),"")</f>
        <v/>
      </c>
    </row>
    <row r="174" spans="1:20" x14ac:dyDescent="0.3">
      <c r="A174" s="22" t="s">
        <v>402</v>
      </c>
      <c r="B174" s="27">
        <v>45910</v>
      </c>
      <c r="C174" s="22" t="s">
        <v>36</v>
      </c>
      <c r="D174" s="22">
        <v>1</v>
      </c>
      <c r="E174" s="23">
        <v>23964</v>
      </c>
      <c r="F174" s="23">
        <v>23964</v>
      </c>
      <c r="G174" s="22" t="s">
        <v>49</v>
      </c>
      <c r="H174" s="28">
        <v>2406.86</v>
      </c>
      <c r="I174" s="22" t="s">
        <v>107</v>
      </c>
      <c r="J174" s="22" t="s">
        <v>65</v>
      </c>
      <c r="K174" s="22" t="s">
        <v>108</v>
      </c>
      <c r="L174" s="27">
        <f t="shared" si="14"/>
        <v>45930</v>
      </c>
      <c r="M174" s="29">
        <f t="shared" ca="1" si="15"/>
        <v>13</v>
      </c>
      <c r="N174" s="23">
        <f t="shared" ca="1" si="16"/>
        <v>415</v>
      </c>
      <c r="O174" s="24">
        <f t="shared" si="17"/>
        <v>0.10043648806543148</v>
      </c>
      <c r="P174" s="22" t="str">
        <f t="shared" si="18"/>
        <v>Repeat</v>
      </c>
      <c r="Q174" s="22" t="str">
        <f t="shared" si="19"/>
        <v>SMA-0925-23964</v>
      </c>
      <c r="R174" s="22" t="str">
        <f t="shared" si="20"/>
        <v>VM</v>
      </c>
      <c r="S174" s="29">
        <f>IF(AND(OR(FILTER_Demo!$B$3="All",G174=FILTER_Demo!$B$3),OR(FILTER_Demo!$B$4="All",C174=FILTER_Demo!$B$4),F174&gt;=FILTER_Demo!$B$5),1,0)</f>
        <v>0</v>
      </c>
      <c r="T174" s="29" t="str">
        <f>IF(S174=1,SUM($S$2:S174),"")</f>
        <v/>
      </c>
    </row>
    <row r="175" spans="1:20" x14ac:dyDescent="0.3">
      <c r="A175" s="22" t="s">
        <v>403</v>
      </c>
      <c r="B175" s="27">
        <v>45910</v>
      </c>
      <c r="C175" s="22" t="s">
        <v>40</v>
      </c>
      <c r="D175" s="22">
        <v>1</v>
      </c>
      <c r="E175" s="23">
        <v>7522</v>
      </c>
      <c r="F175" s="23">
        <v>7522</v>
      </c>
      <c r="G175" s="22" t="s">
        <v>49</v>
      </c>
      <c r="H175" s="28">
        <v>1082.32</v>
      </c>
      <c r="I175" s="22" t="s">
        <v>343</v>
      </c>
      <c r="J175" s="22" t="s">
        <v>68</v>
      </c>
      <c r="K175" s="22" t="s">
        <v>344</v>
      </c>
      <c r="L175" s="27">
        <f t="shared" si="14"/>
        <v>45930</v>
      </c>
      <c r="M175" s="29">
        <f t="shared" ca="1" si="15"/>
        <v>13</v>
      </c>
      <c r="N175" s="23">
        <f t="shared" ca="1" si="16"/>
        <v>415</v>
      </c>
      <c r="O175" s="24">
        <f t="shared" si="17"/>
        <v>0.14388726402552512</v>
      </c>
      <c r="P175" s="22" t="str">
        <f t="shared" si="18"/>
        <v>Repeat</v>
      </c>
      <c r="Q175" s="22" t="str">
        <f t="shared" si="19"/>
        <v>SMA-0925-07522</v>
      </c>
      <c r="R175" s="22" t="str">
        <f t="shared" si="20"/>
        <v>PI</v>
      </c>
      <c r="S175" s="29">
        <f>IF(AND(OR(FILTER_Demo!$B$3="All",G175=FILTER_Demo!$B$3),OR(FILTER_Demo!$B$4="All",C175=FILTER_Demo!$B$4),F175&gt;=FILTER_Demo!$B$5),1,0)</f>
        <v>0</v>
      </c>
      <c r="T175" s="29" t="str">
        <f>IF(S175=1,SUM($S$2:S175),"")</f>
        <v/>
      </c>
    </row>
    <row r="176" spans="1:20" x14ac:dyDescent="0.3">
      <c r="A176" s="22" t="s">
        <v>404</v>
      </c>
      <c r="B176" s="27">
        <v>45913</v>
      </c>
      <c r="C176" s="22" t="s">
        <v>46</v>
      </c>
      <c r="D176" s="22">
        <v>1</v>
      </c>
      <c r="E176" s="23">
        <v>903</v>
      </c>
      <c r="F176" s="23">
        <v>903</v>
      </c>
      <c r="G176" s="22" t="s">
        <v>53</v>
      </c>
      <c r="H176" s="28">
        <v>281.97000000000003</v>
      </c>
      <c r="I176" s="22" t="s">
        <v>244</v>
      </c>
      <c r="J176" s="22" t="s">
        <v>65</v>
      </c>
      <c r="K176" s="22" t="s">
        <v>245</v>
      </c>
      <c r="L176" s="27">
        <f t="shared" si="14"/>
        <v>45930</v>
      </c>
      <c r="M176" s="29">
        <f t="shared" ca="1" si="15"/>
        <v>13</v>
      </c>
      <c r="N176" s="23">
        <f t="shared" ca="1" si="16"/>
        <v>412</v>
      </c>
      <c r="O176" s="24">
        <f t="shared" si="17"/>
        <v>0.31225913621262463</v>
      </c>
      <c r="P176" s="22" t="str">
        <f t="shared" si="18"/>
        <v>Repeat</v>
      </c>
      <c r="Q176" s="22" t="str">
        <f t="shared" si="19"/>
        <v>MOU-0925-00903</v>
      </c>
      <c r="R176" s="22" t="str">
        <f t="shared" si="20"/>
        <v>RS</v>
      </c>
      <c r="S176" s="29">
        <f>IF(AND(OR(FILTER_Demo!$B$3="All",G176=FILTER_Demo!$B$3),OR(FILTER_Demo!$B$4="All",C176=FILTER_Demo!$B$4),F176&gt;=FILTER_Demo!$B$5),1,0)</f>
        <v>0</v>
      </c>
      <c r="T176" s="29" t="str">
        <f>IF(S176=1,SUM($S$2:S176),"")</f>
        <v/>
      </c>
    </row>
    <row r="177" spans="1:20" x14ac:dyDescent="0.3">
      <c r="A177" s="22" t="s">
        <v>405</v>
      </c>
      <c r="B177" s="27">
        <v>45914</v>
      </c>
      <c r="C177" s="22" t="s">
        <v>38</v>
      </c>
      <c r="D177" s="22">
        <v>2</v>
      </c>
      <c r="E177" s="23">
        <v>12479</v>
      </c>
      <c r="F177" s="23">
        <v>24958</v>
      </c>
      <c r="G177" s="22" t="s">
        <v>55</v>
      </c>
      <c r="H177" s="28">
        <v>4848.53</v>
      </c>
      <c r="I177" s="22" t="s">
        <v>190</v>
      </c>
      <c r="J177" s="22" t="s">
        <v>67</v>
      </c>
      <c r="K177" s="22" t="s">
        <v>191</v>
      </c>
      <c r="L177" s="27">
        <f t="shared" si="14"/>
        <v>45930</v>
      </c>
      <c r="M177" s="29">
        <f t="shared" ca="1" si="15"/>
        <v>13</v>
      </c>
      <c r="N177" s="23">
        <f t="shared" ca="1" si="16"/>
        <v>411</v>
      </c>
      <c r="O177" s="24">
        <f t="shared" si="17"/>
        <v>0.1942675695167882</v>
      </c>
      <c r="P177" s="22" t="str">
        <f t="shared" si="18"/>
        <v>Repeat</v>
      </c>
      <c r="Q177" s="22" t="str">
        <f t="shared" si="19"/>
        <v>MON-0925-24958</v>
      </c>
      <c r="R177" s="22" t="str">
        <f t="shared" si="20"/>
        <v>PM</v>
      </c>
      <c r="S177" s="29">
        <f>IF(AND(OR(FILTER_Demo!$B$3="All",G177=FILTER_Demo!$B$3),OR(FILTER_Demo!$B$4="All",C177=FILTER_Demo!$B$4),F177&gt;=FILTER_Demo!$B$5),1,0)</f>
        <v>0</v>
      </c>
      <c r="T177" s="29" t="str">
        <f>IF(S177=1,SUM($S$2:S177),"")</f>
        <v/>
      </c>
    </row>
    <row r="178" spans="1:20" x14ac:dyDescent="0.3">
      <c r="A178" s="22" t="s">
        <v>406</v>
      </c>
      <c r="B178" s="27">
        <v>45918</v>
      </c>
      <c r="C178" s="22" t="s">
        <v>44</v>
      </c>
      <c r="D178" s="22">
        <v>2</v>
      </c>
      <c r="E178" s="23">
        <v>2688</v>
      </c>
      <c r="F178" s="23">
        <v>5376</v>
      </c>
      <c r="G178" s="22" t="s">
        <v>55</v>
      </c>
      <c r="H178" s="28">
        <v>1094.75</v>
      </c>
      <c r="I178" s="22" t="s">
        <v>263</v>
      </c>
      <c r="J178" s="22" t="s">
        <v>68</v>
      </c>
      <c r="K178" s="22" t="s">
        <v>264</v>
      </c>
      <c r="L178" s="27">
        <f t="shared" si="14"/>
        <v>45930</v>
      </c>
      <c r="M178" s="29">
        <f t="shared" ca="1" si="15"/>
        <v>13</v>
      </c>
      <c r="N178" s="23">
        <f t="shared" ca="1" si="16"/>
        <v>407</v>
      </c>
      <c r="O178" s="24">
        <f t="shared" si="17"/>
        <v>0.20363653273809523</v>
      </c>
      <c r="P178" s="22" t="str">
        <f t="shared" si="18"/>
        <v>Repeat</v>
      </c>
      <c r="Q178" s="22" t="str">
        <f t="shared" si="19"/>
        <v>WEB-0925-05376</v>
      </c>
      <c r="R178" s="22" t="str">
        <f t="shared" si="20"/>
        <v>MJ</v>
      </c>
      <c r="S178" s="29">
        <f>IF(AND(OR(FILTER_Demo!$B$3="All",G178=FILTER_Demo!$B$3),OR(FILTER_Demo!$B$4="All",C178=FILTER_Demo!$B$4),F178&gt;=FILTER_Demo!$B$5),1,0)</f>
        <v>0</v>
      </c>
      <c r="T178" s="29" t="str">
        <f>IF(S178=1,SUM($S$2:S178),"")</f>
        <v/>
      </c>
    </row>
    <row r="179" spans="1:20" x14ac:dyDescent="0.3">
      <c r="A179" s="22" t="s">
        <v>407</v>
      </c>
      <c r="B179" s="27">
        <v>45920</v>
      </c>
      <c r="C179" s="22" t="s">
        <v>38</v>
      </c>
      <c r="D179" s="22">
        <v>2</v>
      </c>
      <c r="E179" s="23">
        <v>11794</v>
      </c>
      <c r="F179" s="23">
        <v>23588</v>
      </c>
      <c r="G179" s="22" t="s">
        <v>49</v>
      </c>
      <c r="H179" s="28">
        <v>2867.28</v>
      </c>
      <c r="I179" s="22" t="s">
        <v>408</v>
      </c>
      <c r="J179" s="22" t="s">
        <v>67</v>
      </c>
      <c r="K179" s="22" t="s">
        <v>409</v>
      </c>
      <c r="L179" s="27">
        <f t="shared" si="14"/>
        <v>45930</v>
      </c>
      <c r="M179" s="29">
        <f t="shared" ca="1" si="15"/>
        <v>13</v>
      </c>
      <c r="N179" s="23">
        <f t="shared" ca="1" si="16"/>
        <v>405</v>
      </c>
      <c r="O179" s="24">
        <f t="shared" si="17"/>
        <v>0.12155672375784297</v>
      </c>
      <c r="P179" s="22" t="str">
        <f t="shared" si="18"/>
        <v>One-time</v>
      </c>
      <c r="Q179" s="22" t="str">
        <f t="shared" si="19"/>
        <v>MON-0925-23588</v>
      </c>
      <c r="R179" s="22" t="str">
        <f t="shared" si="20"/>
        <v>AS</v>
      </c>
      <c r="S179" s="29">
        <f>IF(AND(OR(FILTER_Demo!$B$3="All",G179=FILTER_Demo!$B$3),OR(FILTER_Demo!$B$4="All",C179=FILTER_Demo!$B$4),F179&gt;=FILTER_Demo!$B$5),1,0)</f>
        <v>0</v>
      </c>
      <c r="T179" s="29" t="str">
        <f>IF(S179=1,SUM($S$2:S179),"")</f>
        <v/>
      </c>
    </row>
    <row r="180" spans="1:20" x14ac:dyDescent="0.3">
      <c r="A180" s="22" t="s">
        <v>410</v>
      </c>
      <c r="B180" s="27">
        <v>45920</v>
      </c>
      <c r="C180" s="22" t="s">
        <v>36</v>
      </c>
      <c r="D180" s="22">
        <v>1</v>
      </c>
      <c r="E180" s="23">
        <v>23158</v>
      </c>
      <c r="F180" s="23">
        <v>23158</v>
      </c>
      <c r="G180" s="22" t="s">
        <v>51</v>
      </c>
      <c r="H180" s="28">
        <v>2252.79</v>
      </c>
      <c r="I180" s="22" t="s">
        <v>251</v>
      </c>
      <c r="J180" s="22" t="s">
        <v>64</v>
      </c>
      <c r="K180" s="22" t="s">
        <v>252</v>
      </c>
      <c r="L180" s="27">
        <f t="shared" si="14"/>
        <v>45930</v>
      </c>
      <c r="M180" s="29">
        <f t="shared" ca="1" si="15"/>
        <v>13</v>
      </c>
      <c r="N180" s="23">
        <f t="shared" ca="1" si="16"/>
        <v>405</v>
      </c>
      <c r="O180" s="24">
        <f t="shared" si="17"/>
        <v>9.7279126003972705E-2</v>
      </c>
      <c r="P180" s="22" t="str">
        <f t="shared" si="18"/>
        <v>Repeat</v>
      </c>
      <c r="Q180" s="22" t="str">
        <f t="shared" si="19"/>
        <v>SMA-0925-23158</v>
      </c>
      <c r="R180" s="22" t="str">
        <f t="shared" si="20"/>
        <v>AC</v>
      </c>
      <c r="S180" s="29">
        <f>IF(AND(OR(FILTER_Demo!$B$3="All",G180=FILTER_Demo!$B$3),OR(FILTER_Demo!$B$4="All",C180=FILTER_Demo!$B$4),F180&gt;=FILTER_Demo!$B$5),1,0)</f>
        <v>0</v>
      </c>
      <c r="T180" s="29" t="str">
        <f>IF(S180=1,SUM($S$2:S180),"")</f>
        <v/>
      </c>
    </row>
    <row r="181" spans="1:20" x14ac:dyDescent="0.3">
      <c r="A181" s="22" t="s">
        <v>411</v>
      </c>
      <c r="B181" s="27">
        <v>45921</v>
      </c>
      <c r="C181" s="22" t="s">
        <v>45</v>
      </c>
      <c r="D181" s="22">
        <v>1</v>
      </c>
      <c r="E181" s="23">
        <v>1662</v>
      </c>
      <c r="F181" s="23">
        <v>1662</v>
      </c>
      <c r="G181" s="22" t="s">
        <v>49</v>
      </c>
      <c r="H181" s="28">
        <v>510.66</v>
      </c>
      <c r="I181" s="22" t="s">
        <v>148</v>
      </c>
      <c r="J181" s="22" t="s">
        <v>67</v>
      </c>
      <c r="K181" s="22" t="s">
        <v>149</v>
      </c>
      <c r="L181" s="27">
        <f t="shared" si="14"/>
        <v>45930</v>
      </c>
      <c r="M181" s="29">
        <f t="shared" ca="1" si="15"/>
        <v>13</v>
      </c>
      <c r="N181" s="23">
        <f t="shared" ca="1" si="16"/>
        <v>404</v>
      </c>
      <c r="O181" s="24">
        <f t="shared" si="17"/>
        <v>0.30725631768953071</v>
      </c>
      <c r="P181" s="22" t="str">
        <f t="shared" si="18"/>
        <v>Repeat</v>
      </c>
      <c r="Q181" s="22" t="str">
        <f t="shared" si="19"/>
        <v>KEY-0925-01662</v>
      </c>
      <c r="R181" s="22" t="str">
        <f t="shared" si="20"/>
        <v>KP</v>
      </c>
      <c r="S181" s="29">
        <f>IF(AND(OR(FILTER_Demo!$B$3="All",G181=FILTER_Demo!$B$3),OR(FILTER_Demo!$B$4="All",C181=FILTER_Demo!$B$4),F181&gt;=FILTER_Demo!$B$5),1,0)</f>
        <v>0</v>
      </c>
      <c r="T181" s="29" t="str">
        <f>IF(S181=1,SUM($S$2:S181),"")</f>
        <v/>
      </c>
    </row>
    <row r="182" spans="1:20" x14ac:dyDescent="0.3">
      <c r="A182" s="22" t="s">
        <v>412</v>
      </c>
      <c r="B182" s="27">
        <v>45921</v>
      </c>
      <c r="C182" s="22" t="s">
        <v>44</v>
      </c>
      <c r="D182" s="22">
        <v>2</v>
      </c>
      <c r="E182" s="23">
        <v>2626</v>
      </c>
      <c r="F182" s="23">
        <v>5252</v>
      </c>
      <c r="G182" s="22" t="s">
        <v>53</v>
      </c>
      <c r="H182" s="28">
        <v>976.53</v>
      </c>
      <c r="I182" s="22" t="s">
        <v>190</v>
      </c>
      <c r="J182" s="22" t="s">
        <v>66</v>
      </c>
      <c r="K182" s="22" t="s">
        <v>191</v>
      </c>
      <c r="L182" s="27">
        <f t="shared" si="14"/>
        <v>45930</v>
      </c>
      <c r="M182" s="29">
        <f t="shared" ca="1" si="15"/>
        <v>13</v>
      </c>
      <c r="N182" s="23">
        <f t="shared" ca="1" si="16"/>
        <v>404</v>
      </c>
      <c r="O182" s="24">
        <f t="shared" si="17"/>
        <v>0.18593488194973343</v>
      </c>
      <c r="P182" s="22" t="str">
        <f t="shared" si="18"/>
        <v>Repeat</v>
      </c>
      <c r="Q182" s="22" t="str">
        <f t="shared" si="19"/>
        <v>WEB-0925-05252</v>
      </c>
      <c r="R182" s="22" t="str">
        <f t="shared" si="20"/>
        <v>PM</v>
      </c>
      <c r="S182" s="29">
        <f>IF(AND(OR(FILTER_Demo!$B$3="All",G182=FILTER_Demo!$B$3),OR(FILTER_Demo!$B$4="All",C182=FILTER_Demo!$B$4),F182&gt;=FILTER_Demo!$B$5),1,0)</f>
        <v>0</v>
      </c>
      <c r="T182" s="29" t="str">
        <f>IF(S182=1,SUM($S$2:S182),"")</f>
        <v/>
      </c>
    </row>
    <row r="183" spans="1:20" x14ac:dyDescent="0.3">
      <c r="A183" s="22" t="s">
        <v>413</v>
      </c>
      <c r="B183" s="27">
        <v>45924</v>
      </c>
      <c r="C183" s="22" t="s">
        <v>38</v>
      </c>
      <c r="D183" s="22">
        <v>1</v>
      </c>
      <c r="E183" s="23">
        <v>11393</v>
      </c>
      <c r="F183" s="23">
        <v>11393</v>
      </c>
      <c r="G183" s="22" t="s">
        <v>53</v>
      </c>
      <c r="H183" s="28">
        <v>1865.79</v>
      </c>
      <c r="I183" s="22" t="s">
        <v>414</v>
      </c>
      <c r="J183" s="22" t="s">
        <v>66</v>
      </c>
      <c r="K183" s="22" t="s">
        <v>415</v>
      </c>
      <c r="L183" s="27">
        <f t="shared" si="14"/>
        <v>45930</v>
      </c>
      <c r="M183" s="29">
        <f t="shared" ca="1" si="15"/>
        <v>13</v>
      </c>
      <c r="N183" s="23">
        <f t="shared" ca="1" si="16"/>
        <v>401</v>
      </c>
      <c r="O183" s="24">
        <f t="shared" si="17"/>
        <v>0.16376634775739488</v>
      </c>
      <c r="P183" s="22" t="str">
        <f t="shared" si="18"/>
        <v>Repeat</v>
      </c>
      <c r="Q183" s="22" t="str">
        <f t="shared" si="19"/>
        <v>MON-0925-11393</v>
      </c>
      <c r="R183" s="22" t="str">
        <f t="shared" si="20"/>
        <v>VG</v>
      </c>
      <c r="S183" s="29">
        <f>IF(AND(OR(FILTER_Demo!$B$3="All",G183=FILTER_Demo!$B$3),OR(FILTER_Demo!$B$4="All",C183=FILTER_Demo!$B$4),F183&gt;=FILTER_Demo!$B$5),1,0)</f>
        <v>0</v>
      </c>
      <c r="T183" s="29" t="str">
        <f>IF(S183=1,SUM($S$2:S183),"")</f>
        <v/>
      </c>
    </row>
    <row r="184" spans="1:20" x14ac:dyDescent="0.3">
      <c r="A184" s="22" t="s">
        <v>416</v>
      </c>
      <c r="B184" s="27">
        <v>45926</v>
      </c>
      <c r="C184" s="22" t="s">
        <v>40</v>
      </c>
      <c r="D184" s="22">
        <v>2</v>
      </c>
      <c r="E184" s="23">
        <v>7642</v>
      </c>
      <c r="F184" s="23">
        <v>15284</v>
      </c>
      <c r="G184" s="22" t="s">
        <v>55</v>
      </c>
      <c r="H184" s="28">
        <v>2888.04</v>
      </c>
      <c r="I184" s="22" t="s">
        <v>235</v>
      </c>
      <c r="J184" s="22" t="s">
        <v>64</v>
      </c>
      <c r="K184" s="22" t="s">
        <v>236</v>
      </c>
      <c r="L184" s="27">
        <f t="shared" si="14"/>
        <v>45930</v>
      </c>
      <c r="M184" s="29">
        <f t="shared" ca="1" si="15"/>
        <v>13</v>
      </c>
      <c r="N184" s="23">
        <f t="shared" ca="1" si="16"/>
        <v>399</v>
      </c>
      <c r="O184" s="24">
        <f t="shared" si="17"/>
        <v>0.18895838785658203</v>
      </c>
      <c r="P184" s="22" t="str">
        <f t="shared" si="18"/>
        <v>Repeat</v>
      </c>
      <c r="Q184" s="22" t="str">
        <f t="shared" si="19"/>
        <v>SMA-0925-15284</v>
      </c>
      <c r="R184" s="22" t="str">
        <f t="shared" si="20"/>
        <v>RD</v>
      </c>
      <c r="S184" s="29">
        <f>IF(AND(OR(FILTER_Demo!$B$3="All",G184=FILTER_Demo!$B$3),OR(FILTER_Demo!$B$4="All",C184=FILTER_Demo!$B$4),F184&gt;=FILTER_Demo!$B$5),1,0)</f>
        <v>0</v>
      </c>
      <c r="T184" s="29" t="str">
        <f>IF(S184=1,SUM($S$2:S184),"")</f>
        <v/>
      </c>
    </row>
    <row r="185" spans="1:20" x14ac:dyDescent="0.3">
      <c r="A185" s="22" t="s">
        <v>417</v>
      </c>
      <c r="B185" s="27">
        <v>45926</v>
      </c>
      <c r="C185" s="22" t="s">
        <v>46</v>
      </c>
      <c r="D185" s="22">
        <v>3</v>
      </c>
      <c r="E185" s="23">
        <v>854</v>
      </c>
      <c r="F185" s="23">
        <v>2562</v>
      </c>
      <c r="G185" s="22" t="s">
        <v>49</v>
      </c>
      <c r="H185" s="28">
        <v>791.37</v>
      </c>
      <c r="I185" s="22" t="s">
        <v>372</v>
      </c>
      <c r="J185" s="22" t="s">
        <v>66</v>
      </c>
      <c r="K185" s="22" t="s">
        <v>373</v>
      </c>
      <c r="L185" s="27">
        <f t="shared" si="14"/>
        <v>45930</v>
      </c>
      <c r="M185" s="29">
        <f t="shared" ca="1" si="15"/>
        <v>13</v>
      </c>
      <c r="N185" s="23">
        <f t="shared" ca="1" si="16"/>
        <v>399</v>
      </c>
      <c r="O185" s="24">
        <f t="shared" si="17"/>
        <v>0.30888758782201403</v>
      </c>
      <c r="P185" s="22" t="str">
        <f t="shared" si="18"/>
        <v>Repeat</v>
      </c>
      <c r="Q185" s="22" t="str">
        <f t="shared" si="19"/>
        <v>MOU-0925-02562</v>
      </c>
      <c r="R185" s="22" t="str">
        <f t="shared" si="20"/>
        <v>RS</v>
      </c>
      <c r="S185" s="29">
        <f>IF(AND(OR(FILTER_Demo!$B$3="All",G185=FILTER_Demo!$B$3),OR(FILTER_Demo!$B$4="All",C185=FILTER_Demo!$B$4),F185&gt;=FILTER_Demo!$B$5),1,0)</f>
        <v>0</v>
      </c>
      <c r="T185" s="29" t="str">
        <f>IF(S185=1,SUM($S$2:S185),"")</f>
        <v/>
      </c>
    </row>
    <row r="186" spans="1:20" x14ac:dyDescent="0.3">
      <c r="A186" s="22" t="s">
        <v>418</v>
      </c>
      <c r="B186" s="27">
        <v>45932</v>
      </c>
      <c r="C186" s="22" t="s">
        <v>45</v>
      </c>
      <c r="D186" s="22">
        <v>2</v>
      </c>
      <c r="E186" s="23">
        <v>1911</v>
      </c>
      <c r="F186" s="23">
        <v>3822</v>
      </c>
      <c r="G186" s="22" t="s">
        <v>49</v>
      </c>
      <c r="H186" s="28">
        <v>1157.96</v>
      </c>
      <c r="I186" s="22" t="s">
        <v>270</v>
      </c>
      <c r="J186" s="22" t="s">
        <v>64</v>
      </c>
      <c r="K186" s="22" t="s">
        <v>271</v>
      </c>
      <c r="L186" s="27">
        <f t="shared" si="14"/>
        <v>45961</v>
      </c>
      <c r="M186" s="29">
        <f t="shared" ca="1" si="15"/>
        <v>12</v>
      </c>
      <c r="N186" s="23">
        <f t="shared" ca="1" si="16"/>
        <v>393</v>
      </c>
      <c r="O186" s="24">
        <f t="shared" si="17"/>
        <v>0.30297226582940867</v>
      </c>
      <c r="P186" s="22" t="str">
        <f t="shared" si="18"/>
        <v>Repeat</v>
      </c>
      <c r="Q186" s="22" t="str">
        <f t="shared" si="19"/>
        <v>KEY-1025-03822</v>
      </c>
      <c r="R186" s="22" t="str">
        <f t="shared" si="20"/>
        <v>RS</v>
      </c>
      <c r="S186" s="29">
        <f>IF(AND(OR(FILTER_Demo!$B$3="All",G186=FILTER_Demo!$B$3),OR(FILTER_Demo!$B$4="All",C186=FILTER_Demo!$B$4),F186&gt;=FILTER_Demo!$B$5),1,0)</f>
        <v>0</v>
      </c>
      <c r="T186" s="29" t="str">
        <f>IF(S186=1,SUM($S$2:S186),"")</f>
        <v/>
      </c>
    </row>
    <row r="187" spans="1:20" x14ac:dyDescent="0.3">
      <c r="A187" s="22" t="s">
        <v>419</v>
      </c>
      <c r="B187" s="27">
        <v>45932</v>
      </c>
      <c r="C187" s="22" t="s">
        <v>45</v>
      </c>
      <c r="D187" s="22">
        <v>3</v>
      </c>
      <c r="E187" s="23">
        <v>1659</v>
      </c>
      <c r="F187" s="23">
        <v>4977</v>
      </c>
      <c r="G187" s="22" t="s">
        <v>53</v>
      </c>
      <c r="H187" s="28">
        <v>1240.06</v>
      </c>
      <c r="I187" s="22" t="s">
        <v>155</v>
      </c>
      <c r="J187" s="22" t="s">
        <v>67</v>
      </c>
      <c r="K187" s="22" t="s">
        <v>156</v>
      </c>
      <c r="L187" s="27">
        <f t="shared" si="14"/>
        <v>45961</v>
      </c>
      <c r="M187" s="29">
        <f t="shared" ca="1" si="15"/>
        <v>12</v>
      </c>
      <c r="N187" s="23">
        <f t="shared" ca="1" si="16"/>
        <v>393</v>
      </c>
      <c r="O187" s="24">
        <f t="shared" si="17"/>
        <v>0.24915812738597548</v>
      </c>
      <c r="P187" s="22" t="str">
        <f t="shared" si="18"/>
        <v>Repeat</v>
      </c>
      <c r="Q187" s="22" t="str">
        <f t="shared" si="19"/>
        <v>KEY-1025-04977</v>
      </c>
      <c r="R187" s="22" t="str">
        <f t="shared" si="20"/>
        <v>AS</v>
      </c>
      <c r="S187" s="29">
        <f>IF(AND(OR(FILTER_Demo!$B$3="All",G187=FILTER_Demo!$B$3),OR(FILTER_Demo!$B$4="All",C187=FILTER_Demo!$B$4),F187&gt;=FILTER_Demo!$B$5),1,0)</f>
        <v>0</v>
      </c>
      <c r="T187" s="29" t="str">
        <f>IF(S187=1,SUM($S$2:S187),"")</f>
        <v/>
      </c>
    </row>
    <row r="188" spans="1:20" x14ac:dyDescent="0.3">
      <c r="A188" s="22" t="s">
        <v>420</v>
      </c>
      <c r="B188" s="27">
        <v>45932</v>
      </c>
      <c r="C188" s="22" t="s">
        <v>38</v>
      </c>
      <c r="D188" s="22">
        <v>1</v>
      </c>
      <c r="E188" s="23">
        <v>12808</v>
      </c>
      <c r="F188" s="23">
        <v>12808</v>
      </c>
      <c r="G188" s="22" t="s">
        <v>49</v>
      </c>
      <c r="H188" s="28">
        <v>1920.98</v>
      </c>
      <c r="I188" s="22" t="s">
        <v>384</v>
      </c>
      <c r="J188" s="22" t="s">
        <v>68</v>
      </c>
      <c r="K188" s="22" t="s">
        <v>385</v>
      </c>
      <c r="L188" s="27">
        <f t="shared" si="14"/>
        <v>45961</v>
      </c>
      <c r="M188" s="29">
        <f t="shared" ca="1" si="15"/>
        <v>12</v>
      </c>
      <c r="N188" s="23">
        <f t="shared" ca="1" si="16"/>
        <v>393</v>
      </c>
      <c r="O188" s="24">
        <f t="shared" si="17"/>
        <v>0.14998282323547782</v>
      </c>
      <c r="P188" s="22" t="str">
        <f t="shared" si="18"/>
        <v>Repeat</v>
      </c>
      <c r="Q188" s="22" t="str">
        <f t="shared" si="19"/>
        <v>MON-1025-12808</v>
      </c>
      <c r="R188" s="22" t="str">
        <f t="shared" si="20"/>
        <v>RS</v>
      </c>
      <c r="S188" s="29">
        <f>IF(AND(OR(FILTER_Demo!$B$3="All",G188=FILTER_Demo!$B$3),OR(FILTER_Demo!$B$4="All",C188=FILTER_Demo!$B$4),F188&gt;=FILTER_Demo!$B$5),1,0)</f>
        <v>0</v>
      </c>
      <c r="T188" s="29" t="str">
        <f>IF(S188=1,SUM($S$2:S188),"")</f>
        <v/>
      </c>
    </row>
    <row r="189" spans="1:20" x14ac:dyDescent="0.3">
      <c r="A189" s="22" t="s">
        <v>421</v>
      </c>
      <c r="B189" s="27">
        <v>45936</v>
      </c>
      <c r="C189" s="22" t="s">
        <v>44</v>
      </c>
      <c r="D189" s="22">
        <v>2</v>
      </c>
      <c r="E189" s="23">
        <v>3043</v>
      </c>
      <c r="F189" s="23">
        <v>6086</v>
      </c>
      <c r="G189" s="22" t="s">
        <v>51</v>
      </c>
      <c r="H189" s="28">
        <v>1293.3599999999999</v>
      </c>
      <c r="I189" s="22" t="s">
        <v>132</v>
      </c>
      <c r="J189" s="22" t="s">
        <v>66</v>
      </c>
      <c r="K189" s="22" t="s">
        <v>133</v>
      </c>
      <c r="L189" s="27">
        <f t="shared" si="14"/>
        <v>45961</v>
      </c>
      <c r="M189" s="29">
        <f t="shared" ca="1" si="15"/>
        <v>12</v>
      </c>
      <c r="N189" s="23">
        <f t="shared" ca="1" si="16"/>
        <v>389</v>
      </c>
      <c r="O189" s="24">
        <f t="shared" si="17"/>
        <v>0.2125139664804469</v>
      </c>
      <c r="P189" s="22" t="str">
        <f t="shared" si="18"/>
        <v>Repeat</v>
      </c>
      <c r="Q189" s="22" t="str">
        <f t="shared" si="19"/>
        <v>WEB-1025-06086</v>
      </c>
      <c r="R189" s="22" t="str">
        <f t="shared" si="20"/>
        <v>RR</v>
      </c>
      <c r="S189" s="29">
        <f>IF(AND(OR(FILTER_Demo!$B$3="All",G189=FILTER_Demo!$B$3),OR(FILTER_Demo!$B$4="All",C189=FILTER_Demo!$B$4),F189&gt;=FILTER_Demo!$B$5),1,0)</f>
        <v>0</v>
      </c>
      <c r="T189" s="29" t="str">
        <f>IF(S189=1,SUM($S$2:S189),"")</f>
        <v/>
      </c>
    </row>
    <row r="190" spans="1:20" x14ac:dyDescent="0.3">
      <c r="A190" s="22" t="s">
        <v>422</v>
      </c>
      <c r="B190" s="27">
        <v>45936</v>
      </c>
      <c r="C190" s="22" t="s">
        <v>35</v>
      </c>
      <c r="D190" s="22">
        <v>1</v>
      </c>
      <c r="E190" s="23">
        <v>43291</v>
      </c>
      <c r="F190" s="23">
        <v>43291</v>
      </c>
      <c r="G190" s="22" t="s">
        <v>53</v>
      </c>
      <c r="H190" s="28">
        <v>5620.14</v>
      </c>
      <c r="I190" s="22" t="s">
        <v>260</v>
      </c>
      <c r="J190" s="22" t="s">
        <v>64</v>
      </c>
      <c r="K190" s="22" t="s">
        <v>261</v>
      </c>
      <c r="L190" s="27">
        <f t="shared" si="14"/>
        <v>45961</v>
      </c>
      <c r="M190" s="29">
        <f t="shared" ca="1" si="15"/>
        <v>12</v>
      </c>
      <c r="N190" s="23">
        <f t="shared" ca="1" si="16"/>
        <v>389</v>
      </c>
      <c r="O190" s="24">
        <f t="shared" si="17"/>
        <v>0.12982236492573515</v>
      </c>
      <c r="P190" s="22" t="str">
        <f t="shared" si="18"/>
        <v>Repeat</v>
      </c>
      <c r="Q190" s="22" t="str">
        <f t="shared" si="19"/>
        <v>LAP-1025-43291</v>
      </c>
      <c r="R190" s="22" t="str">
        <f t="shared" si="20"/>
        <v>KD</v>
      </c>
      <c r="S190" s="29">
        <f>IF(AND(OR(FILTER_Demo!$B$3="All",G190=FILTER_Demo!$B$3),OR(FILTER_Demo!$B$4="All",C190=FILTER_Demo!$B$4),F190&gt;=FILTER_Demo!$B$5),1,0)</f>
        <v>0</v>
      </c>
      <c r="T190" s="29" t="str">
        <f>IF(S190=1,SUM($S$2:S190),"")</f>
        <v/>
      </c>
    </row>
    <row r="191" spans="1:20" x14ac:dyDescent="0.3">
      <c r="A191" s="22" t="s">
        <v>423</v>
      </c>
      <c r="B191" s="27">
        <v>45938</v>
      </c>
      <c r="C191" s="22" t="s">
        <v>44</v>
      </c>
      <c r="D191" s="22">
        <v>3</v>
      </c>
      <c r="E191" s="23">
        <v>3020</v>
      </c>
      <c r="F191" s="23">
        <v>9060</v>
      </c>
      <c r="G191" s="22" t="s">
        <v>53</v>
      </c>
      <c r="H191" s="28">
        <v>1926.83</v>
      </c>
      <c r="I191" s="22" t="s">
        <v>301</v>
      </c>
      <c r="J191" s="22" t="s">
        <v>67</v>
      </c>
      <c r="K191" s="22" t="s">
        <v>302</v>
      </c>
      <c r="L191" s="27">
        <f t="shared" si="14"/>
        <v>45961</v>
      </c>
      <c r="M191" s="29">
        <f t="shared" ca="1" si="15"/>
        <v>12</v>
      </c>
      <c r="N191" s="23">
        <f t="shared" ca="1" si="16"/>
        <v>387</v>
      </c>
      <c r="O191" s="24">
        <f t="shared" si="17"/>
        <v>0.21267439293598234</v>
      </c>
      <c r="P191" s="22" t="str">
        <f t="shared" si="18"/>
        <v>Repeat</v>
      </c>
      <c r="Q191" s="22" t="str">
        <f t="shared" si="19"/>
        <v>WEB-1025-09060</v>
      </c>
      <c r="R191" s="22" t="str">
        <f t="shared" si="20"/>
        <v>II</v>
      </c>
      <c r="S191" s="29">
        <f>IF(AND(OR(FILTER_Demo!$B$3="All",G191=FILTER_Demo!$B$3),OR(FILTER_Demo!$B$4="All",C191=FILTER_Demo!$B$4),F191&gt;=FILTER_Demo!$B$5),1,0)</f>
        <v>0</v>
      </c>
      <c r="T191" s="29" t="str">
        <f>IF(S191=1,SUM($S$2:S191),"")</f>
        <v/>
      </c>
    </row>
    <row r="192" spans="1:20" x14ac:dyDescent="0.3">
      <c r="A192" s="22" t="s">
        <v>424</v>
      </c>
      <c r="B192" s="27">
        <v>45939</v>
      </c>
      <c r="C192" s="22" t="s">
        <v>38</v>
      </c>
      <c r="D192" s="22">
        <v>1</v>
      </c>
      <c r="E192" s="23">
        <v>13068</v>
      </c>
      <c r="F192" s="23">
        <v>13068</v>
      </c>
      <c r="G192" s="22" t="s">
        <v>49</v>
      </c>
      <c r="H192" s="28">
        <v>2369.9699999999998</v>
      </c>
      <c r="I192" s="22" t="s">
        <v>204</v>
      </c>
      <c r="J192" s="22" t="s">
        <v>64</v>
      </c>
      <c r="K192" s="22" t="s">
        <v>205</v>
      </c>
      <c r="L192" s="27">
        <f t="shared" si="14"/>
        <v>45961</v>
      </c>
      <c r="M192" s="29">
        <f t="shared" ca="1" si="15"/>
        <v>12</v>
      </c>
      <c r="N192" s="23">
        <f t="shared" ca="1" si="16"/>
        <v>386</v>
      </c>
      <c r="O192" s="24">
        <f t="shared" si="17"/>
        <v>0.18135674931129475</v>
      </c>
      <c r="P192" s="22" t="str">
        <f t="shared" si="18"/>
        <v>Repeat</v>
      </c>
      <c r="Q192" s="22" t="str">
        <f t="shared" si="19"/>
        <v>MON-1025-13068</v>
      </c>
      <c r="R192" s="22" t="str">
        <f t="shared" si="20"/>
        <v>AI</v>
      </c>
      <c r="S192" s="29">
        <f>IF(AND(OR(FILTER_Demo!$B$3="All",G192=FILTER_Demo!$B$3),OR(FILTER_Demo!$B$4="All",C192=FILTER_Demo!$B$4),F192&gt;=FILTER_Demo!$B$5),1,0)</f>
        <v>0</v>
      </c>
      <c r="T192" s="29" t="str">
        <f>IF(S192=1,SUM($S$2:S192),"")</f>
        <v/>
      </c>
    </row>
    <row r="193" spans="1:20" x14ac:dyDescent="0.3">
      <c r="A193" s="22" t="s">
        <v>425</v>
      </c>
      <c r="B193" s="27">
        <v>45941</v>
      </c>
      <c r="C193" s="22" t="s">
        <v>36</v>
      </c>
      <c r="D193" s="22">
        <v>1</v>
      </c>
      <c r="E193" s="23">
        <v>20082</v>
      </c>
      <c r="F193" s="23">
        <v>20082</v>
      </c>
      <c r="G193" s="22" t="s">
        <v>51</v>
      </c>
      <c r="H193" s="28">
        <v>1447.98</v>
      </c>
      <c r="I193" s="22" t="s">
        <v>295</v>
      </c>
      <c r="J193" s="22" t="s">
        <v>65</v>
      </c>
      <c r="K193" s="22" t="s">
        <v>296</v>
      </c>
      <c r="L193" s="27">
        <f t="shared" si="14"/>
        <v>45961</v>
      </c>
      <c r="M193" s="29">
        <f t="shared" ca="1" si="15"/>
        <v>12</v>
      </c>
      <c r="N193" s="23">
        <f t="shared" ca="1" si="16"/>
        <v>384</v>
      </c>
      <c r="O193" s="24">
        <f t="shared" si="17"/>
        <v>7.210337615775321E-2</v>
      </c>
      <c r="P193" s="22" t="str">
        <f t="shared" si="18"/>
        <v>Repeat</v>
      </c>
      <c r="Q193" s="22" t="str">
        <f t="shared" si="19"/>
        <v>SMA-1025-20082</v>
      </c>
      <c r="R193" s="22" t="str">
        <f t="shared" si="20"/>
        <v>AR</v>
      </c>
      <c r="S193" s="29">
        <f>IF(AND(OR(FILTER_Demo!$B$3="All",G193=FILTER_Demo!$B$3),OR(FILTER_Demo!$B$4="All",C193=FILTER_Demo!$B$4),F193&gt;=FILTER_Demo!$B$5),1,0)</f>
        <v>0</v>
      </c>
      <c r="T193" s="29" t="str">
        <f>IF(S193=1,SUM($S$2:S193),"")</f>
        <v/>
      </c>
    </row>
    <row r="194" spans="1:20" x14ac:dyDescent="0.3">
      <c r="A194" s="22" t="s">
        <v>426</v>
      </c>
      <c r="B194" s="27">
        <v>45942</v>
      </c>
      <c r="C194" s="22" t="s">
        <v>38</v>
      </c>
      <c r="D194" s="22">
        <v>1</v>
      </c>
      <c r="E194" s="23">
        <v>12472</v>
      </c>
      <c r="F194" s="23">
        <v>12472</v>
      </c>
      <c r="G194" s="22" t="s">
        <v>53</v>
      </c>
      <c r="H194" s="28">
        <v>2158.29</v>
      </c>
      <c r="I194" s="22" t="s">
        <v>132</v>
      </c>
      <c r="J194" s="22" t="s">
        <v>65</v>
      </c>
      <c r="K194" s="22" t="s">
        <v>133</v>
      </c>
      <c r="L194" s="27">
        <f t="shared" ref="L194:L251" si="21">EOMONTH(B194,0)</f>
        <v>45961</v>
      </c>
      <c r="M194" s="29">
        <f t="shared" ref="M194:M251" ca="1" si="22">DATEDIF(B194,TODAY(),"m")</f>
        <v>12</v>
      </c>
      <c r="N194" s="23">
        <f t="shared" ref="N194:N251" ca="1" si="23">TODAY()-B194</f>
        <v>383</v>
      </c>
      <c r="O194" s="24">
        <f t="shared" ref="O194:O251" si="24">IF(F194=0,0,H194/F194)</f>
        <v>0.17305083386786402</v>
      </c>
      <c r="P194" s="22" t="str">
        <f t="shared" ref="P194:P251" si="25">IF(COUNTIF($K$2:$K$251,K194)&gt;1,"Repeat","One-time")</f>
        <v>Repeat</v>
      </c>
      <c r="Q194" s="22" t="str">
        <f t="shared" ref="Q194:Q251" si="26">UPPER(LEFT(C194,3))&amp;"-"&amp;TEXT(B194,"MMYY")&amp;"-"&amp;TEXT(F194,"00000")</f>
        <v>MON-1025-12472</v>
      </c>
      <c r="R194" s="22" t="str">
        <f t="shared" ref="R194:R251" si="27">LEFT(K194,1)&amp;MID(K194,FIND(" ",K194)+1,1)</f>
        <v>RR</v>
      </c>
      <c r="S194" s="29">
        <f>IF(AND(OR(FILTER_Demo!$B$3="All",G194=FILTER_Demo!$B$3),OR(FILTER_Demo!$B$4="All",C194=FILTER_Demo!$B$4),F194&gt;=FILTER_Demo!$B$5),1,0)</f>
        <v>0</v>
      </c>
      <c r="T194" s="29" t="str">
        <f>IF(S194=1,SUM($S$2:S194),"")</f>
        <v/>
      </c>
    </row>
    <row r="195" spans="1:20" x14ac:dyDescent="0.3">
      <c r="A195" s="22" t="s">
        <v>427</v>
      </c>
      <c r="B195" s="27">
        <v>45942</v>
      </c>
      <c r="C195" s="22" t="s">
        <v>45</v>
      </c>
      <c r="D195" s="22">
        <v>1</v>
      </c>
      <c r="E195" s="23">
        <v>1835</v>
      </c>
      <c r="F195" s="23">
        <v>1835</v>
      </c>
      <c r="G195" s="22" t="s">
        <v>49</v>
      </c>
      <c r="H195" s="28">
        <v>583.54999999999995</v>
      </c>
      <c r="I195" s="22" t="s">
        <v>135</v>
      </c>
      <c r="J195" s="22" t="s">
        <v>65</v>
      </c>
      <c r="K195" s="22" t="s">
        <v>136</v>
      </c>
      <c r="L195" s="27">
        <f t="shared" si="21"/>
        <v>45961</v>
      </c>
      <c r="M195" s="29">
        <f t="shared" ca="1" si="22"/>
        <v>12</v>
      </c>
      <c r="N195" s="23">
        <f t="shared" ca="1" si="23"/>
        <v>383</v>
      </c>
      <c r="O195" s="24">
        <f t="shared" si="24"/>
        <v>0.31801089918256126</v>
      </c>
      <c r="P195" s="22" t="str">
        <f t="shared" si="25"/>
        <v>Repeat</v>
      </c>
      <c r="Q195" s="22" t="str">
        <f t="shared" si="26"/>
        <v>KEY-1025-01835</v>
      </c>
      <c r="R195" s="22" t="str">
        <f t="shared" si="27"/>
        <v>SM</v>
      </c>
      <c r="S195" s="29">
        <f>IF(AND(OR(FILTER_Demo!$B$3="All",G195=FILTER_Demo!$B$3),OR(FILTER_Demo!$B$4="All",C195=FILTER_Demo!$B$4),F195&gt;=FILTER_Demo!$B$5),1,0)</f>
        <v>0</v>
      </c>
      <c r="T195" s="29" t="str">
        <f>IF(S195=1,SUM($S$2:S195),"")</f>
        <v/>
      </c>
    </row>
    <row r="196" spans="1:20" x14ac:dyDescent="0.3">
      <c r="A196" s="22" t="s">
        <v>428</v>
      </c>
      <c r="B196" s="27">
        <v>45944</v>
      </c>
      <c r="C196" s="22" t="s">
        <v>38</v>
      </c>
      <c r="D196" s="22">
        <v>1</v>
      </c>
      <c r="E196" s="23">
        <v>11915</v>
      </c>
      <c r="F196" s="23">
        <v>11915</v>
      </c>
      <c r="G196" s="22" t="s">
        <v>55</v>
      </c>
      <c r="H196" s="28">
        <v>1824.34</v>
      </c>
      <c r="I196" s="22" t="s">
        <v>321</v>
      </c>
      <c r="J196" s="22" t="s">
        <v>67</v>
      </c>
      <c r="K196" s="22" t="s">
        <v>322</v>
      </c>
      <c r="L196" s="27">
        <f t="shared" si="21"/>
        <v>45961</v>
      </c>
      <c r="M196" s="29">
        <f t="shared" ca="1" si="22"/>
        <v>12</v>
      </c>
      <c r="N196" s="23">
        <f t="shared" ca="1" si="23"/>
        <v>381</v>
      </c>
      <c r="O196" s="24">
        <f t="shared" si="24"/>
        <v>0.1531128829206882</v>
      </c>
      <c r="P196" s="22" t="str">
        <f t="shared" si="25"/>
        <v>Repeat</v>
      </c>
      <c r="Q196" s="22" t="str">
        <f t="shared" si="26"/>
        <v>MON-1025-11915</v>
      </c>
      <c r="R196" s="22" t="str">
        <f t="shared" si="27"/>
        <v>RD</v>
      </c>
      <c r="S196" s="29">
        <f>IF(AND(OR(FILTER_Demo!$B$3="All",G196=FILTER_Demo!$B$3),OR(FILTER_Demo!$B$4="All",C196=FILTER_Demo!$B$4),F196&gt;=FILTER_Demo!$B$5),1,0)</f>
        <v>0</v>
      </c>
      <c r="T196" s="29" t="str">
        <f>IF(S196=1,SUM($S$2:S196),"")</f>
        <v/>
      </c>
    </row>
    <row r="197" spans="1:20" x14ac:dyDescent="0.3">
      <c r="A197" s="22" t="s">
        <v>429</v>
      </c>
      <c r="B197" s="27">
        <v>45947</v>
      </c>
      <c r="C197" s="22" t="s">
        <v>44</v>
      </c>
      <c r="D197" s="22">
        <v>1</v>
      </c>
      <c r="E197" s="23">
        <v>2566</v>
      </c>
      <c r="F197" s="23">
        <v>2566</v>
      </c>
      <c r="G197" s="22" t="s">
        <v>55</v>
      </c>
      <c r="H197" s="28">
        <v>604.9</v>
      </c>
      <c r="I197" s="22" t="s">
        <v>321</v>
      </c>
      <c r="J197" s="22" t="s">
        <v>66</v>
      </c>
      <c r="K197" s="22" t="s">
        <v>322</v>
      </c>
      <c r="L197" s="27">
        <f t="shared" si="21"/>
        <v>45961</v>
      </c>
      <c r="M197" s="29">
        <f t="shared" ca="1" si="22"/>
        <v>12</v>
      </c>
      <c r="N197" s="23">
        <f t="shared" ca="1" si="23"/>
        <v>378</v>
      </c>
      <c r="O197" s="24">
        <f t="shared" si="24"/>
        <v>0.23573655494933748</v>
      </c>
      <c r="P197" s="22" t="str">
        <f t="shared" si="25"/>
        <v>Repeat</v>
      </c>
      <c r="Q197" s="22" t="str">
        <f t="shared" si="26"/>
        <v>WEB-1025-02566</v>
      </c>
      <c r="R197" s="22" t="str">
        <f t="shared" si="27"/>
        <v>RD</v>
      </c>
      <c r="S197" s="29">
        <f>IF(AND(OR(FILTER_Demo!$B$3="All",G197=FILTER_Demo!$B$3),OR(FILTER_Demo!$B$4="All",C197=FILTER_Demo!$B$4),F197&gt;=FILTER_Demo!$B$5),1,0)</f>
        <v>0</v>
      </c>
      <c r="T197" s="29" t="str">
        <f>IF(S197=1,SUM($S$2:S197),"")</f>
        <v/>
      </c>
    </row>
    <row r="198" spans="1:20" x14ac:dyDescent="0.3">
      <c r="A198" s="22" t="s">
        <v>430</v>
      </c>
      <c r="B198" s="27">
        <v>45947</v>
      </c>
      <c r="C198" s="22" t="s">
        <v>35</v>
      </c>
      <c r="D198" s="22">
        <v>1</v>
      </c>
      <c r="E198" s="23">
        <v>43502</v>
      </c>
      <c r="F198" s="23">
        <v>43502</v>
      </c>
      <c r="G198" s="22" t="s">
        <v>51</v>
      </c>
      <c r="H198" s="28">
        <v>8216.75</v>
      </c>
      <c r="I198" s="22" t="s">
        <v>314</v>
      </c>
      <c r="J198" s="22" t="s">
        <v>68</v>
      </c>
      <c r="K198" s="22" t="s">
        <v>315</v>
      </c>
      <c r="L198" s="27">
        <f t="shared" si="21"/>
        <v>45961</v>
      </c>
      <c r="M198" s="29">
        <f t="shared" ca="1" si="22"/>
        <v>12</v>
      </c>
      <c r="N198" s="23">
        <f t="shared" ca="1" si="23"/>
        <v>378</v>
      </c>
      <c r="O198" s="24">
        <f t="shared" si="24"/>
        <v>0.18888212036228219</v>
      </c>
      <c r="P198" s="22" t="str">
        <f t="shared" si="25"/>
        <v>Repeat</v>
      </c>
      <c r="Q198" s="22" t="str">
        <f t="shared" si="26"/>
        <v>LAP-1025-43502</v>
      </c>
      <c r="R198" s="22" t="str">
        <f t="shared" si="27"/>
        <v>SR</v>
      </c>
      <c r="S198" s="29">
        <f>IF(AND(OR(FILTER_Demo!$B$3="All",G198=FILTER_Demo!$B$3),OR(FILTER_Demo!$B$4="All",C198=FILTER_Demo!$B$4),F198&gt;=FILTER_Demo!$B$5),1,0)</f>
        <v>0</v>
      </c>
      <c r="T198" s="29" t="str">
        <f>IF(S198=1,SUM($S$2:S198),"")</f>
        <v/>
      </c>
    </row>
    <row r="199" spans="1:20" x14ac:dyDescent="0.3">
      <c r="A199" s="22" t="s">
        <v>431</v>
      </c>
      <c r="B199" s="27">
        <v>45947</v>
      </c>
      <c r="C199" s="22" t="s">
        <v>38</v>
      </c>
      <c r="D199" s="22">
        <v>3</v>
      </c>
      <c r="E199" s="23">
        <v>12624</v>
      </c>
      <c r="F199" s="23">
        <v>37872</v>
      </c>
      <c r="G199" s="22" t="s">
        <v>55</v>
      </c>
      <c r="H199" s="28">
        <v>5487.29</v>
      </c>
      <c r="I199" s="22" t="s">
        <v>89</v>
      </c>
      <c r="J199" s="22" t="s">
        <v>66</v>
      </c>
      <c r="K199" s="22" t="s">
        <v>90</v>
      </c>
      <c r="L199" s="27">
        <f t="shared" si="21"/>
        <v>45961</v>
      </c>
      <c r="M199" s="29">
        <f t="shared" ca="1" si="22"/>
        <v>12</v>
      </c>
      <c r="N199" s="23">
        <f t="shared" ca="1" si="23"/>
        <v>378</v>
      </c>
      <c r="O199" s="24">
        <f t="shared" si="24"/>
        <v>0.14489042036332911</v>
      </c>
      <c r="P199" s="22" t="str">
        <f t="shared" si="25"/>
        <v>Repeat</v>
      </c>
      <c r="Q199" s="22" t="str">
        <f t="shared" si="26"/>
        <v>MON-1025-37872</v>
      </c>
      <c r="R199" s="22" t="str">
        <f t="shared" si="27"/>
        <v>PS</v>
      </c>
      <c r="S199" s="29">
        <f>IF(AND(OR(FILTER_Demo!$B$3="All",G199=FILTER_Demo!$B$3),OR(FILTER_Demo!$B$4="All",C199=FILTER_Demo!$B$4),F199&gt;=FILTER_Demo!$B$5),1,0)</f>
        <v>0</v>
      </c>
      <c r="T199" s="29" t="str">
        <f>IF(S199=1,SUM($S$2:S199),"")</f>
        <v/>
      </c>
    </row>
    <row r="200" spans="1:20" x14ac:dyDescent="0.3">
      <c r="A200" s="22" t="s">
        <v>432</v>
      </c>
      <c r="B200" s="27">
        <v>45949</v>
      </c>
      <c r="C200" s="22" t="s">
        <v>43</v>
      </c>
      <c r="D200" s="22">
        <v>1</v>
      </c>
      <c r="E200" s="23">
        <v>3266</v>
      </c>
      <c r="F200" s="23">
        <v>3266</v>
      </c>
      <c r="G200" s="22" t="s">
        <v>52</v>
      </c>
      <c r="H200" s="28">
        <v>753.67</v>
      </c>
      <c r="I200" s="22" t="s">
        <v>158</v>
      </c>
      <c r="J200" s="22" t="s">
        <v>64</v>
      </c>
      <c r="K200" s="22" t="s">
        <v>159</v>
      </c>
      <c r="L200" s="27">
        <f t="shared" si="21"/>
        <v>45961</v>
      </c>
      <c r="M200" s="29">
        <f t="shared" ca="1" si="22"/>
        <v>12</v>
      </c>
      <c r="N200" s="23">
        <f t="shared" ca="1" si="23"/>
        <v>376</v>
      </c>
      <c r="O200" s="24">
        <f t="shared" si="24"/>
        <v>0.23076240048989588</v>
      </c>
      <c r="P200" s="22" t="str">
        <f t="shared" si="25"/>
        <v>Repeat</v>
      </c>
      <c r="Q200" s="22" t="str">
        <f t="shared" si="26"/>
        <v>HEA-1025-03266</v>
      </c>
      <c r="R200" s="22" t="str">
        <f t="shared" si="27"/>
        <v>RI</v>
      </c>
      <c r="S200" s="29">
        <f>IF(AND(OR(FILTER_Demo!$B$3="All",G200=FILTER_Demo!$B$3),OR(FILTER_Demo!$B$4="All",C200=FILTER_Demo!$B$4),F200&gt;=FILTER_Demo!$B$5),1,0)</f>
        <v>0</v>
      </c>
      <c r="T200" s="29" t="str">
        <f>IF(S200=1,SUM($S$2:S200),"")</f>
        <v/>
      </c>
    </row>
    <row r="201" spans="1:20" x14ac:dyDescent="0.3">
      <c r="A201" s="22" t="s">
        <v>433</v>
      </c>
      <c r="B201" s="27">
        <v>45950</v>
      </c>
      <c r="C201" s="22" t="s">
        <v>40</v>
      </c>
      <c r="D201" s="22">
        <v>1</v>
      </c>
      <c r="E201" s="23">
        <v>7977</v>
      </c>
      <c r="F201" s="23">
        <v>7977</v>
      </c>
      <c r="G201" s="22" t="s">
        <v>55</v>
      </c>
      <c r="H201" s="28">
        <v>1467.16</v>
      </c>
      <c r="I201" s="22" t="s">
        <v>230</v>
      </c>
      <c r="J201" s="22" t="s">
        <v>65</v>
      </c>
      <c r="K201" s="22" t="s">
        <v>231</v>
      </c>
      <c r="L201" s="27">
        <f t="shared" si="21"/>
        <v>45961</v>
      </c>
      <c r="M201" s="29">
        <f t="shared" ca="1" si="22"/>
        <v>12</v>
      </c>
      <c r="N201" s="23">
        <f t="shared" ca="1" si="23"/>
        <v>375</v>
      </c>
      <c r="O201" s="24">
        <f t="shared" si="24"/>
        <v>0.18392378087000127</v>
      </c>
      <c r="P201" s="22" t="str">
        <f t="shared" si="25"/>
        <v>Repeat</v>
      </c>
      <c r="Q201" s="22" t="str">
        <f t="shared" si="26"/>
        <v>SMA-1025-07977</v>
      </c>
      <c r="R201" s="22" t="str">
        <f t="shared" si="27"/>
        <v>DB</v>
      </c>
      <c r="S201" s="29">
        <f>IF(AND(OR(FILTER_Demo!$B$3="All",G201=FILTER_Demo!$B$3),OR(FILTER_Demo!$B$4="All",C201=FILTER_Demo!$B$4),F201&gt;=FILTER_Demo!$B$5),1,0)</f>
        <v>0</v>
      </c>
      <c r="T201" s="29" t="str">
        <f>IF(S201=1,SUM($S$2:S201),"")</f>
        <v/>
      </c>
    </row>
    <row r="202" spans="1:20" x14ac:dyDescent="0.3">
      <c r="A202" s="22" t="s">
        <v>434</v>
      </c>
      <c r="B202" s="27">
        <v>45951</v>
      </c>
      <c r="C202" s="22" t="s">
        <v>45</v>
      </c>
      <c r="D202" s="22">
        <v>3</v>
      </c>
      <c r="E202" s="23">
        <v>1752</v>
      </c>
      <c r="F202" s="23">
        <v>5256</v>
      </c>
      <c r="G202" s="22" t="s">
        <v>51</v>
      </c>
      <c r="H202" s="28">
        <v>1609.71</v>
      </c>
      <c r="I202" s="22" t="s">
        <v>92</v>
      </c>
      <c r="J202" s="22" t="s">
        <v>68</v>
      </c>
      <c r="K202" s="22" t="s">
        <v>93</v>
      </c>
      <c r="L202" s="27">
        <f t="shared" si="21"/>
        <v>45961</v>
      </c>
      <c r="M202" s="29">
        <f t="shared" ca="1" si="22"/>
        <v>12</v>
      </c>
      <c r="N202" s="23">
        <f t="shared" ca="1" si="23"/>
        <v>374</v>
      </c>
      <c r="O202" s="24">
        <f t="shared" si="24"/>
        <v>0.30626141552511416</v>
      </c>
      <c r="P202" s="22" t="str">
        <f t="shared" si="25"/>
        <v>Repeat</v>
      </c>
      <c r="Q202" s="22" t="str">
        <f t="shared" si="26"/>
        <v>KEY-1025-05256</v>
      </c>
      <c r="R202" s="22" t="str">
        <f t="shared" si="27"/>
        <v>PI</v>
      </c>
      <c r="S202" s="29">
        <f>IF(AND(OR(FILTER_Demo!$B$3="All",G202=FILTER_Demo!$B$3),OR(FILTER_Demo!$B$4="All",C202=FILTER_Demo!$B$4),F202&gt;=FILTER_Demo!$B$5),1,0)</f>
        <v>0</v>
      </c>
      <c r="T202" s="29" t="str">
        <f>IF(S202=1,SUM($S$2:S202),"")</f>
        <v/>
      </c>
    </row>
    <row r="203" spans="1:20" x14ac:dyDescent="0.3">
      <c r="A203" s="22" t="s">
        <v>435</v>
      </c>
      <c r="B203" s="27">
        <v>45951</v>
      </c>
      <c r="C203" s="22" t="s">
        <v>38</v>
      </c>
      <c r="D203" s="22">
        <v>4</v>
      </c>
      <c r="E203" s="23">
        <v>12869</v>
      </c>
      <c r="F203" s="23">
        <v>51476</v>
      </c>
      <c r="G203" s="22" t="s">
        <v>53</v>
      </c>
      <c r="H203" s="28">
        <v>8111.38</v>
      </c>
      <c r="I203" s="22" t="s">
        <v>123</v>
      </c>
      <c r="J203" s="22" t="s">
        <v>66</v>
      </c>
      <c r="K203" s="22" t="s">
        <v>124</v>
      </c>
      <c r="L203" s="27">
        <f t="shared" si="21"/>
        <v>45961</v>
      </c>
      <c r="M203" s="29">
        <f t="shared" ca="1" si="22"/>
        <v>12</v>
      </c>
      <c r="N203" s="23">
        <f t="shared" ca="1" si="23"/>
        <v>374</v>
      </c>
      <c r="O203" s="24">
        <f t="shared" si="24"/>
        <v>0.15757595772787319</v>
      </c>
      <c r="P203" s="22" t="str">
        <f t="shared" si="25"/>
        <v>Repeat</v>
      </c>
      <c r="Q203" s="22" t="str">
        <f t="shared" si="26"/>
        <v>MON-1025-51476</v>
      </c>
      <c r="R203" s="22" t="str">
        <f t="shared" si="27"/>
        <v>AI</v>
      </c>
      <c r="S203" s="29">
        <f>IF(AND(OR(FILTER_Demo!$B$3="All",G203=FILTER_Demo!$B$3),OR(FILTER_Demo!$B$4="All",C203=FILTER_Demo!$B$4),F203&gt;=FILTER_Demo!$B$5),1,0)</f>
        <v>0</v>
      </c>
      <c r="T203" s="29" t="str">
        <f>IF(S203=1,SUM($S$2:S203),"")</f>
        <v/>
      </c>
    </row>
    <row r="204" spans="1:20" x14ac:dyDescent="0.3">
      <c r="A204" s="22" t="s">
        <v>436</v>
      </c>
      <c r="B204" s="27">
        <v>45954</v>
      </c>
      <c r="C204" s="22" t="s">
        <v>36</v>
      </c>
      <c r="D204" s="22">
        <v>3</v>
      </c>
      <c r="E204" s="23">
        <v>20521</v>
      </c>
      <c r="F204" s="23">
        <v>61563</v>
      </c>
      <c r="G204" s="22" t="s">
        <v>49</v>
      </c>
      <c r="H204" s="28">
        <v>6224.26</v>
      </c>
      <c r="I204" s="22" t="s">
        <v>437</v>
      </c>
      <c r="J204" s="22" t="s">
        <v>68</v>
      </c>
      <c r="K204" s="22" t="s">
        <v>438</v>
      </c>
      <c r="L204" s="27">
        <f t="shared" si="21"/>
        <v>45961</v>
      </c>
      <c r="M204" s="29">
        <f t="shared" ca="1" si="22"/>
        <v>12</v>
      </c>
      <c r="N204" s="23">
        <f t="shared" ca="1" si="23"/>
        <v>371</v>
      </c>
      <c r="O204" s="24">
        <f t="shared" si="24"/>
        <v>0.10110390981596089</v>
      </c>
      <c r="P204" s="22" t="str">
        <f t="shared" si="25"/>
        <v>One-time</v>
      </c>
      <c r="Q204" s="22" t="str">
        <f t="shared" si="26"/>
        <v>SMA-1025-61563</v>
      </c>
      <c r="R204" s="22" t="str">
        <f t="shared" si="27"/>
        <v>NK</v>
      </c>
      <c r="S204" s="29">
        <f>IF(AND(OR(FILTER_Demo!$B$3="All",G204=FILTER_Demo!$B$3),OR(FILTER_Demo!$B$4="All",C204=FILTER_Demo!$B$4),F204&gt;=FILTER_Demo!$B$5),1,0)</f>
        <v>0</v>
      </c>
      <c r="T204" s="29" t="str">
        <f>IF(S204=1,SUM($S$2:S204),"")</f>
        <v/>
      </c>
    </row>
    <row r="205" spans="1:20" x14ac:dyDescent="0.3">
      <c r="A205" s="22" t="s">
        <v>439</v>
      </c>
      <c r="B205" s="27">
        <v>45954</v>
      </c>
      <c r="C205" s="22" t="s">
        <v>35</v>
      </c>
      <c r="D205" s="22">
        <v>2</v>
      </c>
      <c r="E205" s="23">
        <v>42890</v>
      </c>
      <c r="F205" s="23">
        <v>85780</v>
      </c>
      <c r="G205" s="22" t="s">
        <v>55</v>
      </c>
      <c r="H205" s="28">
        <v>13343.86</v>
      </c>
      <c r="I205" s="22" t="s">
        <v>298</v>
      </c>
      <c r="J205" s="22" t="s">
        <v>64</v>
      </c>
      <c r="K205" s="22" t="s">
        <v>299</v>
      </c>
      <c r="L205" s="27">
        <f t="shared" si="21"/>
        <v>45961</v>
      </c>
      <c r="M205" s="29">
        <f t="shared" ca="1" si="22"/>
        <v>12</v>
      </c>
      <c r="N205" s="23">
        <f t="shared" ca="1" si="23"/>
        <v>371</v>
      </c>
      <c r="O205" s="24">
        <f t="shared" si="24"/>
        <v>0.1555591046864071</v>
      </c>
      <c r="P205" s="22" t="str">
        <f t="shared" si="25"/>
        <v>Repeat</v>
      </c>
      <c r="Q205" s="22" t="str">
        <f t="shared" si="26"/>
        <v>LAP-1025-85780</v>
      </c>
      <c r="R205" s="22" t="str">
        <f t="shared" si="27"/>
        <v>AP</v>
      </c>
      <c r="S205" s="29">
        <f>IF(AND(OR(FILTER_Demo!$B$3="All",G205=FILTER_Demo!$B$3),OR(FILTER_Demo!$B$4="All",C205=FILTER_Demo!$B$4),F205&gt;=FILTER_Demo!$B$5),1,0)</f>
        <v>0</v>
      </c>
      <c r="T205" s="29" t="str">
        <f>IF(S205=1,SUM($S$2:S205),"")</f>
        <v/>
      </c>
    </row>
    <row r="206" spans="1:20" x14ac:dyDescent="0.3">
      <c r="A206" s="22" t="s">
        <v>440</v>
      </c>
      <c r="B206" s="27">
        <v>45957</v>
      </c>
      <c r="C206" s="22" t="s">
        <v>43</v>
      </c>
      <c r="D206" s="22">
        <v>1</v>
      </c>
      <c r="E206" s="23">
        <v>3543</v>
      </c>
      <c r="F206" s="23">
        <v>3543</v>
      </c>
      <c r="G206" s="22" t="s">
        <v>53</v>
      </c>
      <c r="H206" s="28">
        <v>801.69</v>
      </c>
      <c r="I206" s="22" t="s">
        <v>181</v>
      </c>
      <c r="J206" s="22" t="s">
        <v>67</v>
      </c>
      <c r="K206" s="22" t="s">
        <v>182</v>
      </c>
      <c r="L206" s="27">
        <f t="shared" si="21"/>
        <v>45961</v>
      </c>
      <c r="M206" s="29">
        <f t="shared" ca="1" si="22"/>
        <v>12</v>
      </c>
      <c r="N206" s="23">
        <f t="shared" ca="1" si="23"/>
        <v>368</v>
      </c>
      <c r="O206" s="24">
        <f t="shared" si="24"/>
        <v>0.22627434377646063</v>
      </c>
      <c r="P206" s="22" t="str">
        <f t="shared" si="25"/>
        <v>Repeat</v>
      </c>
      <c r="Q206" s="22" t="str">
        <f t="shared" si="26"/>
        <v>HEA-1025-03543</v>
      </c>
      <c r="R206" s="22" t="str">
        <f t="shared" si="27"/>
        <v>ND</v>
      </c>
      <c r="S206" s="29">
        <f>IF(AND(OR(FILTER_Demo!$B$3="All",G206=FILTER_Demo!$B$3),OR(FILTER_Demo!$B$4="All",C206=FILTER_Demo!$B$4),F206&gt;=FILTER_Demo!$B$5),1,0)</f>
        <v>0</v>
      </c>
      <c r="T206" s="29" t="str">
        <f>IF(S206=1,SUM($S$2:S206),"")</f>
        <v/>
      </c>
    </row>
    <row r="207" spans="1:20" x14ac:dyDescent="0.3">
      <c r="A207" s="22" t="s">
        <v>441</v>
      </c>
      <c r="B207" s="27">
        <v>45963</v>
      </c>
      <c r="C207" s="22" t="s">
        <v>35</v>
      </c>
      <c r="D207" s="22">
        <v>2</v>
      </c>
      <c r="E207" s="23">
        <v>48388</v>
      </c>
      <c r="F207" s="23">
        <v>96776</v>
      </c>
      <c r="G207" s="22" t="s">
        <v>53</v>
      </c>
      <c r="H207" s="28">
        <v>14690.9</v>
      </c>
      <c r="I207" s="22" t="s">
        <v>132</v>
      </c>
      <c r="J207" s="22" t="s">
        <v>65</v>
      </c>
      <c r="K207" s="22" t="s">
        <v>133</v>
      </c>
      <c r="L207" s="27">
        <f t="shared" si="21"/>
        <v>45991</v>
      </c>
      <c r="M207" s="29">
        <f t="shared" ca="1" si="22"/>
        <v>11</v>
      </c>
      <c r="N207" s="23">
        <f t="shared" ca="1" si="23"/>
        <v>362</v>
      </c>
      <c r="O207" s="24">
        <f t="shared" si="24"/>
        <v>0.15180313300818385</v>
      </c>
      <c r="P207" s="22" t="str">
        <f t="shared" si="25"/>
        <v>Repeat</v>
      </c>
      <c r="Q207" s="22" t="str">
        <f t="shared" si="26"/>
        <v>LAP-1125-96776</v>
      </c>
      <c r="R207" s="22" t="str">
        <f t="shared" si="27"/>
        <v>RR</v>
      </c>
      <c r="S207" s="29">
        <f>IF(AND(OR(FILTER_Demo!$B$3="All",G207=FILTER_Demo!$B$3),OR(FILTER_Demo!$B$4="All",C207=FILTER_Demo!$B$4),F207&gt;=FILTER_Demo!$B$5),1,0)</f>
        <v>0</v>
      </c>
      <c r="T207" s="29" t="str">
        <f>IF(S207=1,SUM($S$2:S207),"")</f>
        <v/>
      </c>
    </row>
    <row r="208" spans="1:20" x14ac:dyDescent="0.3">
      <c r="A208" s="22" t="s">
        <v>442</v>
      </c>
      <c r="B208" s="27">
        <v>45966</v>
      </c>
      <c r="C208" s="22" t="s">
        <v>46</v>
      </c>
      <c r="D208" s="22">
        <v>1</v>
      </c>
      <c r="E208" s="23">
        <v>827</v>
      </c>
      <c r="F208" s="23">
        <v>827</v>
      </c>
      <c r="G208" s="22" t="s">
        <v>49</v>
      </c>
      <c r="H208" s="28">
        <v>225.99</v>
      </c>
      <c r="I208" s="22" t="s">
        <v>443</v>
      </c>
      <c r="J208" s="22" t="s">
        <v>65</v>
      </c>
      <c r="K208" s="22" t="s">
        <v>444</v>
      </c>
      <c r="L208" s="27">
        <f t="shared" si="21"/>
        <v>45991</v>
      </c>
      <c r="M208" s="29">
        <f t="shared" ca="1" si="22"/>
        <v>11</v>
      </c>
      <c r="N208" s="23">
        <f t="shared" ca="1" si="23"/>
        <v>359</v>
      </c>
      <c r="O208" s="24">
        <f t="shared" si="24"/>
        <v>0.27326481257557439</v>
      </c>
      <c r="P208" s="22" t="str">
        <f t="shared" si="25"/>
        <v>Repeat</v>
      </c>
      <c r="Q208" s="22" t="str">
        <f t="shared" si="26"/>
        <v>MOU-1125-00827</v>
      </c>
      <c r="R208" s="22" t="str">
        <f t="shared" si="27"/>
        <v>AV</v>
      </c>
      <c r="S208" s="29">
        <f>IF(AND(OR(FILTER_Demo!$B$3="All",G208=FILTER_Demo!$B$3),OR(FILTER_Demo!$B$4="All",C208=FILTER_Demo!$B$4),F208&gt;=FILTER_Demo!$B$5),1,0)</f>
        <v>0</v>
      </c>
      <c r="T208" s="29" t="str">
        <f>IF(S208=1,SUM($S$2:S208),"")</f>
        <v/>
      </c>
    </row>
    <row r="209" spans="1:20" x14ac:dyDescent="0.3">
      <c r="A209" s="22" t="s">
        <v>445</v>
      </c>
      <c r="B209" s="27">
        <v>45967</v>
      </c>
      <c r="C209" s="22" t="s">
        <v>36</v>
      </c>
      <c r="D209" s="22">
        <v>2</v>
      </c>
      <c r="E209" s="23">
        <v>23713</v>
      </c>
      <c r="F209" s="23">
        <v>47426</v>
      </c>
      <c r="G209" s="22" t="s">
        <v>52</v>
      </c>
      <c r="H209" s="28">
        <v>6803.42</v>
      </c>
      <c r="I209" s="22" t="s">
        <v>273</v>
      </c>
      <c r="J209" s="22" t="s">
        <v>64</v>
      </c>
      <c r="K209" s="22" t="s">
        <v>274</v>
      </c>
      <c r="L209" s="27">
        <f t="shared" si="21"/>
        <v>45991</v>
      </c>
      <c r="M209" s="29">
        <f t="shared" ca="1" si="22"/>
        <v>11</v>
      </c>
      <c r="N209" s="23">
        <f t="shared" ca="1" si="23"/>
        <v>358</v>
      </c>
      <c r="O209" s="24">
        <f t="shared" si="24"/>
        <v>0.14345338000253027</v>
      </c>
      <c r="P209" s="22" t="str">
        <f t="shared" si="25"/>
        <v>Repeat</v>
      </c>
      <c r="Q209" s="22" t="str">
        <f t="shared" si="26"/>
        <v>SMA-1125-47426</v>
      </c>
      <c r="R209" s="22" t="str">
        <f t="shared" si="27"/>
        <v>VN</v>
      </c>
      <c r="S209" s="29">
        <f>IF(AND(OR(FILTER_Demo!$B$3="All",G209=FILTER_Demo!$B$3),OR(FILTER_Demo!$B$4="All",C209=FILTER_Demo!$B$4),F209&gt;=FILTER_Demo!$B$5),1,0)</f>
        <v>0</v>
      </c>
      <c r="T209" s="29" t="str">
        <f>IF(S209=1,SUM($S$2:S209),"")</f>
        <v/>
      </c>
    </row>
    <row r="210" spans="1:20" x14ac:dyDescent="0.3">
      <c r="A210" s="22" t="s">
        <v>446</v>
      </c>
      <c r="B210" s="27">
        <v>45968</v>
      </c>
      <c r="C210" s="22" t="s">
        <v>38</v>
      </c>
      <c r="D210" s="22">
        <v>4</v>
      </c>
      <c r="E210" s="23">
        <v>11196</v>
      </c>
      <c r="F210" s="23">
        <v>44784</v>
      </c>
      <c r="G210" s="22" t="s">
        <v>53</v>
      </c>
      <c r="H210" s="28">
        <v>6841.53</v>
      </c>
      <c r="I210" s="22" t="s">
        <v>165</v>
      </c>
      <c r="J210" s="22" t="s">
        <v>68</v>
      </c>
      <c r="K210" s="22" t="s">
        <v>166</v>
      </c>
      <c r="L210" s="27">
        <f t="shared" si="21"/>
        <v>45991</v>
      </c>
      <c r="M210" s="29">
        <f t="shared" ca="1" si="22"/>
        <v>11</v>
      </c>
      <c r="N210" s="23">
        <f t="shared" ca="1" si="23"/>
        <v>357</v>
      </c>
      <c r="O210" s="24">
        <f t="shared" si="24"/>
        <v>0.15276728295819936</v>
      </c>
      <c r="P210" s="22" t="str">
        <f t="shared" si="25"/>
        <v>Repeat</v>
      </c>
      <c r="Q210" s="22" t="str">
        <f t="shared" si="26"/>
        <v>MON-1125-44784</v>
      </c>
      <c r="R210" s="22" t="str">
        <f t="shared" si="27"/>
        <v>KS</v>
      </c>
      <c r="S210" s="29">
        <f>IF(AND(OR(FILTER_Demo!$B$3="All",G210=FILTER_Demo!$B$3),OR(FILTER_Demo!$B$4="All",C210=FILTER_Demo!$B$4),F210&gt;=FILTER_Demo!$B$5),1,0)</f>
        <v>0</v>
      </c>
      <c r="T210" s="29" t="str">
        <f>IF(S210=1,SUM($S$2:S210),"")</f>
        <v/>
      </c>
    </row>
    <row r="211" spans="1:20" x14ac:dyDescent="0.3">
      <c r="A211" s="22" t="s">
        <v>447</v>
      </c>
      <c r="B211" s="27">
        <v>45968</v>
      </c>
      <c r="C211" s="22" t="s">
        <v>44</v>
      </c>
      <c r="D211" s="22">
        <v>3</v>
      </c>
      <c r="E211" s="23">
        <v>2956</v>
      </c>
      <c r="F211" s="23">
        <v>8868</v>
      </c>
      <c r="G211" s="22" t="s">
        <v>53</v>
      </c>
      <c r="H211" s="28">
        <v>2370.9499999999998</v>
      </c>
      <c r="I211" s="22" t="s">
        <v>235</v>
      </c>
      <c r="J211" s="22" t="s">
        <v>65</v>
      </c>
      <c r="K211" s="22" t="s">
        <v>236</v>
      </c>
      <c r="L211" s="27">
        <f t="shared" si="21"/>
        <v>45991</v>
      </c>
      <c r="M211" s="29">
        <f t="shared" ca="1" si="22"/>
        <v>11</v>
      </c>
      <c r="N211" s="23">
        <f t="shared" ca="1" si="23"/>
        <v>357</v>
      </c>
      <c r="O211" s="24">
        <f t="shared" si="24"/>
        <v>0.26736017140279655</v>
      </c>
      <c r="P211" s="22" t="str">
        <f t="shared" si="25"/>
        <v>Repeat</v>
      </c>
      <c r="Q211" s="22" t="str">
        <f t="shared" si="26"/>
        <v>WEB-1125-08868</v>
      </c>
      <c r="R211" s="22" t="str">
        <f t="shared" si="27"/>
        <v>RD</v>
      </c>
      <c r="S211" s="29">
        <f>IF(AND(OR(FILTER_Demo!$B$3="All",G211=FILTER_Demo!$B$3),OR(FILTER_Demo!$B$4="All",C211=FILTER_Demo!$B$4),F211&gt;=FILTER_Demo!$B$5),1,0)</f>
        <v>0</v>
      </c>
      <c r="T211" s="29" t="str">
        <f>IF(S211=1,SUM($S$2:S211),"")</f>
        <v/>
      </c>
    </row>
    <row r="212" spans="1:20" x14ac:dyDescent="0.3">
      <c r="A212" s="22" t="s">
        <v>448</v>
      </c>
      <c r="B212" s="27">
        <v>45969</v>
      </c>
      <c r="C212" s="22" t="s">
        <v>36</v>
      </c>
      <c r="D212" s="22">
        <v>3</v>
      </c>
      <c r="E212" s="23">
        <v>21113</v>
      </c>
      <c r="F212" s="23">
        <v>63339</v>
      </c>
      <c r="G212" s="22" t="s">
        <v>51</v>
      </c>
      <c r="H212" s="28">
        <v>8480.77</v>
      </c>
      <c r="I212" s="22" t="s">
        <v>132</v>
      </c>
      <c r="J212" s="22" t="s">
        <v>66</v>
      </c>
      <c r="K212" s="22" t="s">
        <v>133</v>
      </c>
      <c r="L212" s="27">
        <f t="shared" si="21"/>
        <v>45991</v>
      </c>
      <c r="M212" s="29">
        <f t="shared" ca="1" si="22"/>
        <v>11</v>
      </c>
      <c r="N212" s="23">
        <f t="shared" ca="1" si="23"/>
        <v>356</v>
      </c>
      <c r="O212" s="24">
        <f t="shared" si="24"/>
        <v>0.13389491466552994</v>
      </c>
      <c r="P212" s="22" t="str">
        <f t="shared" si="25"/>
        <v>Repeat</v>
      </c>
      <c r="Q212" s="22" t="str">
        <f t="shared" si="26"/>
        <v>SMA-1125-63339</v>
      </c>
      <c r="R212" s="22" t="str">
        <f t="shared" si="27"/>
        <v>RR</v>
      </c>
      <c r="S212" s="29">
        <f>IF(AND(OR(FILTER_Demo!$B$3="All",G212=FILTER_Demo!$B$3),OR(FILTER_Demo!$B$4="All",C212=FILTER_Demo!$B$4),F212&gt;=FILTER_Demo!$B$5),1,0)</f>
        <v>0</v>
      </c>
      <c r="T212" s="29" t="str">
        <f>IF(S212=1,SUM($S$2:S212),"")</f>
        <v/>
      </c>
    </row>
    <row r="213" spans="1:20" x14ac:dyDescent="0.3">
      <c r="A213" s="22" t="s">
        <v>449</v>
      </c>
      <c r="B213" s="27">
        <v>45971</v>
      </c>
      <c r="C213" s="22" t="s">
        <v>44</v>
      </c>
      <c r="D213" s="22">
        <v>1</v>
      </c>
      <c r="E213" s="23">
        <v>2970</v>
      </c>
      <c r="F213" s="23">
        <v>2970</v>
      </c>
      <c r="G213" s="22" t="s">
        <v>49</v>
      </c>
      <c r="H213" s="28">
        <v>668.74</v>
      </c>
      <c r="I213" s="22" t="s">
        <v>314</v>
      </c>
      <c r="J213" s="22" t="s">
        <v>66</v>
      </c>
      <c r="K213" s="22" t="s">
        <v>315</v>
      </c>
      <c r="L213" s="27">
        <f t="shared" si="21"/>
        <v>45991</v>
      </c>
      <c r="M213" s="29">
        <f t="shared" ca="1" si="22"/>
        <v>11</v>
      </c>
      <c r="N213" s="23">
        <f t="shared" ca="1" si="23"/>
        <v>354</v>
      </c>
      <c r="O213" s="24">
        <f t="shared" si="24"/>
        <v>0.22516498316498318</v>
      </c>
      <c r="P213" s="22" t="str">
        <f t="shared" si="25"/>
        <v>Repeat</v>
      </c>
      <c r="Q213" s="22" t="str">
        <f t="shared" si="26"/>
        <v>WEB-1125-02970</v>
      </c>
      <c r="R213" s="22" t="str">
        <f t="shared" si="27"/>
        <v>SR</v>
      </c>
      <c r="S213" s="29">
        <f>IF(AND(OR(FILTER_Demo!$B$3="All",G213=FILTER_Demo!$B$3),OR(FILTER_Demo!$B$4="All",C213=FILTER_Demo!$B$4),F213&gt;=FILTER_Demo!$B$5),1,0)</f>
        <v>0</v>
      </c>
      <c r="T213" s="29" t="str">
        <f>IF(S213=1,SUM($S$2:S213),"")</f>
        <v/>
      </c>
    </row>
    <row r="214" spans="1:20" x14ac:dyDescent="0.3">
      <c r="A214" s="22" t="s">
        <v>450</v>
      </c>
      <c r="B214" s="27">
        <v>45971</v>
      </c>
      <c r="C214" s="22" t="s">
        <v>43</v>
      </c>
      <c r="D214" s="22">
        <v>2</v>
      </c>
      <c r="E214" s="23">
        <v>3511</v>
      </c>
      <c r="F214" s="23">
        <v>7022</v>
      </c>
      <c r="G214" s="22" t="s">
        <v>52</v>
      </c>
      <c r="H214" s="28">
        <v>1634.7</v>
      </c>
      <c r="I214" s="22" t="s">
        <v>301</v>
      </c>
      <c r="J214" s="22" t="s">
        <v>67</v>
      </c>
      <c r="K214" s="22" t="s">
        <v>302</v>
      </c>
      <c r="L214" s="27">
        <f t="shared" si="21"/>
        <v>45991</v>
      </c>
      <c r="M214" s="29">
        <f t="shared" ca="1" si="22"/>
        <v>11</v>
      </c>
      <c r="N214" s="23">
        <f t="shared" ca="1" si="23"/>
        <v>354</v>
      </c>
      <c r="O214" s="24">
        <f t="shared" si="24"/>
        <v>0.23279692395328966</v>
      </c>
      <c r="P214" s="22" t="str">
        <f t="shared" si="25"/>
        <v>Repeat</v>
      </c>
      <c r="Q214" s="22" t="str">
        <f t="shared" si="26"/>
        <v>HEA-1125-07022</v>
      </c>
      <c r="R214" s="22" t="str">
        <f t="shared" si="27"/>
        <v>II</v>
      </c>
      <c r="S214" s="29">
        <f>IF(AND(OR(FILTER_Demo!$B$3="All",G214=FILTER_Demo!$B$3),OR(FILTER_Demo!$B$4="All",C214=FILTER_Demo!$B$4),F214&gt;=FILTER_Demo!$B$5),1,0)</f>
        <v>0</v>
      </c>
      <c r="T214" s="29" t="str">
        <f>IF(S214=1,SUM($S$2:S214),"")</f>
        <v/>
      </c>
    </row>
    <row r="215" spans="1:20" x14ac:dyDescent="0.3">
      <c r="A215" s="22" t="s">
        <v>451</v>
      </c>
      <c r="B215" s="27">
        <v>45973</v>
      </c>
      <c r="C215" s="22" t="s">
        <v>43</v>
      </c>
      <c r="D215" s="22">
        <v>4</v>
      </c>
      <c r="E215" s="23">
        <v>3608</v>
      </c>
      <c r="F215" s="23">
        <v>14432</v>
      </c>
      <c r="G215" s="22" t="s">
        <v>53</v>
      </c>
      <c r="H215" s="28">
        <v>4089.59</v>
      </c>
      <c r="I215" s="22" t="s">
        <v>211</v>
      </c>
      <c r="J215" s="22" t="s">
        <v>64</v>
      </c>
      <c r="K215" s="22" t="s">
        <v>212</v>
      </c>
      <c r="L215" s="27">
        <f t="shared" si="21"/>
        <v>45991</v>
      </c>
      <c r="M215" s="29">
        <f t="shared" ca="1" si="22"/>
        <v>11</v>
      </c>
      <c r="N215" s="23">
        <f t="shared" ca="1" si="23"/>
        <v>352</v>
      </c>
      <c r="O215" s="24">
        <f t="shared" si="24"/>
        <v>0.28336959534368072</v>
      </c>
      <c r="P215" s="22" t="str">
        <f t="shared" si="25"/>
        <v>Repeat</v>
      </c>
      <c r="Q215" s="22" t="str">
        <f t="shared" si="26"/>
        <v>HEA-1125-14432</v>
      </c>
      <c r="R215" s="22" t="str">
        <f t="shared" si="27"/>
        <v>KI</v>
      </c>
      <c r="S215" s="29">
        <f>IF(AND(OR(FILTER_Demo!$B$3="All",G215=FILTER_Demo!$B$3),OR(FILTER_Demo!$B$4="All",C215=FILTER_Demo!$B$4),F215&gt;=FILTER_Demo!$B$5),1,0)</f>
        <v>0</v>
      </c>
      <c r="T215" s="29" t="str">
        <f>IF(S215=1,SUM($S$2:S215),"")</f>
        <v/>
      </c>
    </row>
    <row r="216" spans="1:20" x14ac:dyDescent="0.3">
      <c r="A216" s="22" t="s">
        <v>452</v>
      </c>
      <c r="B216" s="27">
        <v>45974</v>
      </c>
      <c r="C216" s="22" t="s">
        <v>36</v>
      </c>
      <c r="D216" s="22">
        <v>1</v>
      </c>
      <c r="E216" s="23">
        <v>24051</v>
      </c>
      <c r="F216" s="23">
        <v>24051</v>
      </c>
      <c r="G216" s="22" t="s">
        <v>53</v>
      </c>
      <c r="H216" s="28">
        <v>2096.94</v>
      </c>
      <c r="I216" s="22" t="s">
        <v>343</v>
      </c>
      <c r="J216" s="22" t="s">
        <v>64</v>
      </c>
      <c r="K216" s="22" t="s">
        <v>344</v>
      </c>
      <c r="L216" s="27">
        <f t="shared" si="21"/>
        <v>45991</v>
      </c>
      <c r="M216" s="29">
        <f t="shared" ca="1" si="22"/>
        <v>11</v>
      </c>
      <c r="N216" s="23">
        <f t="shared" ca="1" si="23"/>
        <v>351</v>
      </c>
      <c r="O216" s="24">
        <f t="shared" si="24"/>
        <v>8.7187227142322563E-2</v>
      </c>
      <c r="P216" s="22" t="str">
        <f t="shared" si="25"/>
        <v>Repeat</v>
      </c>
      <c r="Q216" s="22" t="str">
        <f t="shared" si="26"/>
        <v>SMA-1125-24051</v>
      </c>
      <c r="R216" s="22" t="str">
        <f t="shared" si="27"/>
        <v>PI</v>
      </c>
      <c r="S216" s="29">
        <f>IF(AND(OR(FILTER_Demo!$B$3="All",G216=FILTER_Demo!$B$3),OR(FILTER_Demo!$B$4="All",C216=FILTER_Demo!$B$4),F216&gt;=FILTER_Demo!$B$5),1,0)</f>
        <v>0</v>
      </c>
      <c r="T216" s="29" t="str">
        <f>IF(S216=1,SUM($S$2:S216),"")</f>
        <v/>
      </c>
    </row>
    <row r="217" spans="1:20" x14ac:dyDescent="0.3">
      <c r="A217" s="22" t="s">
        <v>453</v>
      </c>
      <c r="B217" s="27">
        <v>45976</v>
      </c>
      <c r="C217" s="22" t="s">
        <v>46</v>
      </c>
      <c r="D217" s="22">
        <v>2</v>
      </c>
      <c r="E217" s="23">
        <v>961</v>
      </c>
      <c r="F217" s="23">
        <v>1922</v>
      </c>
      <c r="G217" s="22" t="s">
        <v>55</v>
      </c>
      <c r="H217" s="28">
        <v>657.24</v>
      </c>
      <c r="I217" s="22" t="s">
        <v>273</v>
      </c>
      <c r="J217" s="22" t="s">
        <v>67</v>
      </c>
      <c r="K217" s="22" t="s">
        <v>274</v>
      </c>
      <c r="L217" s="27">
        <f t="shared" si="21"/>
        <v>45991</v>
      </c>
      <c r="M217" s="29">
        <f t="shared" ca="1" si="22"/>
        <v>11</v>
      </c>
      <c r="N217" s="23">
        <f t="shared" ca="1" si="23"/>
        <v>349</v>
      </c>
      <c r="O217" s="24">
        <f t="shared" si="24"/>
        <v>0.34195629552549428</v>
      </c>
      <c r="P217" s="22" t="str">
        <f t="shared" si="25"/>
        <v>Repeat</v>
      </c>
      <c r="Q217" s="22" t="str">
        <f t="shared" si="26"/>
        <v>MOU-1125-01922</v>
      </c>
      <c r="R217" s="22" t="str">
        <f t="shared" si="27"/>
        <v>VN</v>
      </c>
      <c r="S217" s="29">
        <f>IF(AND(OR(FILTER_Demo!$B$3="All",G217=FILTER_Demo!$B$3),OR(FILTER_Demo!$B$4="All",C217=FILTER_Demo!$B$4),F217&gt;=FILTER_Demo!$B$5),1,0)</f>
        <v>0</v>
      </c>
      <c r="T217" s="29" t="str">
        <f>IF(S217=1,SUM($S$2:S217),"")</f>
        <v/>
      </c>
    </row>
    <row r="218" spans="1:20" x14ac:dyDescent="0.3">
      <c r="A218" s="22" t="s">
        <v>454</v>
      </c>
      <c r="B218" s="27">
        <v>45978</v>
      </c>
      <c r="C218" s="22" t="s">
        <v>39</v>
      </c>
      <c r="D218" s="22">
        <v>1</v>
      </c>
      <c r="E218" s="23">
        <v>19643</v>
      </c>
      <c r="F218" s="23">
        <v>19643</v>
      </c>
      <c r="G218" s="22" t="s">
        <v>52</v>
      </c>
      <c r="H218" s="28">
        <v>2110.54</v>
      </c>
      <c r="I218" s="22" t="s">
        <v>241</v>
      </c>
      <c r="J218" s="22" t="s">
        <v>68</v>
      </c>
      <c r="K218" s="22" t="s">
        <v>242</v>
      </c>
      <c r="L218" s="27">
        <f t="shared" si="21"/>
        <v>45991</v>
      </c>
      <c r="M218" s="29">
        <f t="shared" ca="1" si="22"/>
        <v>11</v>
      </c>
      <c r="N218" s="23">
        <f t="shared" ca="1" si="23"/>
        <v>347</v>
      </c>
      <c r="O218" s="24">
        <f t="shared" si="24"/>
        <v>0.10744489130988139</v>
      </c>
      <c r="P218" s="22" t="str">
        <f t="shared" si="25"/>
        <v>Repeat</v>
      </c>
      <c r="Q218" s="22" t="str">
        <f t="shared" si="26"/>
        <v>TAB-1125-19643</v>
      </c>
      <c r="R218" s="22" t="str">
        <f t="shared" si="27"/>
        <v>KM</v>
      </c>
      <c r="S218" s="29">
        <f>IF(AND(OR(FILTER_Demo!$B$3="All",G218=FILTER_Demo!$B$3),OR(FILTER_Demo!$B$4="All",C218=FILTER_Demo!$B$4),F218&gt;=FILTER_Demo!$B$5),1,0)</f>
        <v>1</v>
      </c>
      <c r="T218" s="29">
        <f>IF(S218=1,SUM($S$2:S218),"")</f>
        <v>17</v>
      </c>
    </row>
    <row r="219" spans="1:20" x14ac:dyDescent="0.3">
      <c r="A219" s="22" t="s">
        <v>455</v>
      </c>
      <c r="B219" s="27">
        <v>45981</v>
      </c>
      <c r="C219" s="22" t="s">
        <v>38</v>
      </c>
      <c r="D219" s="22">
        <v>3</v>
      </c>
      <c r="E219" s="23">
        <v>10886</v>
      </c>
      <c r="F219" s="23">
        <v>32658</v>
      </c>
      <c r="G219" s="22" t="s">
        <v>52</v>
      </c>
      <c r="H219" s="28">
        <v>3489.25</v>
      </c>
      <c r="I219" s="22" t="s">
        <v>298</v>
      </c>
      <c r="J219" s="22" t="s">
        <v>64</v>
      </c>
      <c r="K219" s="22" t="s">
        <v>299</v>
      </c>
      <c r="L219" s="27">
        <f t="shared" si="21"/>
        <v>45991</v>
      </c>
      <c r="M219" s="29">
        <f t="shared" ca="1" si="22"/>
        <v>11</v>
      </c>
      <c r="N219" s="23">
        <f t="shared" ca="1" si="23"/>
        <v>344</v>
      </c>
      <c r="O219" s="24">
        <f t="shared" si="24"/>
        <v>0.10684212137914141</v>
      </c>
      <c r="P219" s="22" t="str">
        <f t="shared" si="25"/>
        <v>Repeat</v>
      </c>
      <c r="Q219" s="22" t="str">
        <f t="shared" si="26"/>
        <v>MON-1125-32658</v>
      </c>
      <c r="R219" s="22" t="str">
        <f t="shared" si="27"/>
        <v>AP</v>
      </c>
      <c r="S219" s="29">
        <f>IF(AND(OR(FILTER_Demo!$B$3="All",G219=FILTER_Demo!$B$3),OR(FILTER_Demo!$B$4="All",C219=FILTER_Demo!$B$4),F219&gt;=FILTER_Demo!$B$5),1,0)</f>
        <v>0</v>
      </c>
      <c r="T219" s="29" t="str">
        <f>IF(S219=1,SUM($S$2:S219),"")</f>
        <v/>
      </c>
    </row>
    <row r="220" spans="1:20" x14ac:dyDescent="0.3">
      <c r="A220" s="22" t="s">
        <v>456</v>
      </c>
      <c r="B220" s="27">
        <v>45982</v>
      </c>
      <c r="C220" s="22" t="s">
        <v>45</v>
      </c>
      <c r="D220" s="22">
        <v>1</v>
      </c>
      <c r="E220" s="23">
        <v>1900</v>
      </c>
      <c r="F220" s="23">
        <v>1900</v>
      </c>
      <c r="G220" s="22" t="s">
        <v>49</v>
      </c>
      <c r="H220" s="28">
        <v>451.51</v>
      </c>
      <c r="I220" s="22" t="s">
        <v>457</v>
      </c>
      <c r="J220" s="22" t="s">
        <v>68</v>
      </c>
      <c r="K220" s="22" t="s">
        <v>458</v>
      </c>
      <c r="L220" s="27">
        <f t="shared" si="21"/>
        <v>45991</v>
      </c>
      <c r="M220" s="29">
        <f t="shared" ca="1" si="22"/>
        <v>11</v>
      </c>
      <c r="N220" s="23">
        <f t="shared" ca="1" si="23"/>
        <v>343</v>
      </c>
      <c r="O220" s="24">
        <f t="shared" si="24"/>
        <v>0.23763684210526315</v>
      </c>
      <c r="P220" s="22" t="str">
        <f t="shared" si="25"/>
        <v>One-time</v>
      </c>
      <c r="Q220" s="22" t="str">
        <f t="shared" si="26"/>
        <v>KEY-1125-01900</v>
      </c>
      <c r="R220" s="22" t="str">
        <f t="shared" si="27"/>
        <v>PS</v>
      </c>
      <c r="S220" s="29">
        <f>IF(AND(OR(FILTER_Demo!$B$3="All",G220=FILTER_Demo!$B$3),OR(FILTER_Demo!$B$4="All",C220=FILTER_Demo!$B$4),F220&gt;=FILTER_Demo!$B$5),1,0)</f>
        <v>0</v>
      </c>
      <c r="T220" s="29" t="str">
        <f>IF(S220=1,SUM($S$2:S220),"")</f>
        <v/>
      </c>
    </row>
    <row r="221" spans="1:20" x14ac:dyDescent="0.3">
      <c r="A221" s="22" t="s">
        <v>459</v>
      </c>
      <c r="B221" s="27">
        <v>45983</v>
      </c>
      <c r="C221" s="22" t="s">
        <v>41</v>
      </c>
      <c r="D221" s="22">
        <v>1</v>
      </c>
      <c r="E221" s="23">
        <v>9709</v>
      </c>
      <c r="F221" s="23">
        <v>9709</v>
      </c>
      <c r="G221" s="22" t="s">
        <v>53</v>
      </c>
      <c r="H221" s="28">
        <v>1696.8</v>
      </c>
      <c r="I221" s="22" t="s">
        <v>460</v>
      </c>
      <c r="J221" s="22" t="s">
        <v>67</v>
      </c>
      <c r="K221" s="22" t="s">
        <v>461</v>
      </c>
      <c r="L221" s="27">
        <f t="shared" si="21"/>
        <v>45991</v>
      </c>
      <c r="M221" s="29">
        <f t="shared" ca="1" si="22"/>
        <v>11</v>
      </c>
      <c r="N221" s="23">
        <f t="shared" ca="1" si="23"/>
        <v>342</v>
      </c>
      <c r="O221" s="24">
        <f t="shared" si="24"/>
        <v>0.17476568132660417</v>
      </c>
      <c r="P221" s="22" t="str">
        <f t="shared" si="25"/>
        <v>Repeat</v>
      </c>
      <c r="Q221" s="22" t="str">
        <f t="shared" si="26"/>
        <v>PRI-1125-09709</v>
      </c>
      <c r="R221" s="22" t="str">
        <f t="shared" si="27"/>
        <v>PB</v>
      </c>
      <c r="S221" s="29">
        <f>IF(AND(OR(FILTER_Demo!$B$3="All",G221=FILTER_Demo!$B$3),OR(FILTER_Demo!$B$4="All",C221=FILTER_Demo!$B$4),F221&gt;=FILTER_Demo!$B$5),1,0)</f>
        <v>0</v>
      </c>
      <c r="T221" s="29" t="str">
        <f>IF(S221=1,SUM($S$2:S221),"")</f>
        <v/>
      </c>
    </row>
    <row r="222" spans="1:20" x14ac:dyDescent="0.3">
      <c r="A222" s="22" t="s">
        <v>462</v>
      </c>
      <c r="B222" s="27">
        <v>45983</v>
      </c>
      <c r="C222" s="22" t="s">
        <v>41</v>
      </c>
      <c r="D222" s="22">
        <v>2</v>
      </c>
      <c r="E222" s="23">
        <v>9292</v>
      </c>
      <c r="F222" s="23">
        <v>18584</v>
      </c>
      <c r="G222" s="22" t="s">
        <v>53</v>
      </c>
      <c r="H222" s="28">
        <v>2917.94</v>
      </c>
      <c r="I222" s="22" t="s">
        <v>309</v>
      </c>
      <c r="J222" s="22" t="s">
        <v>66</v>
      </c>
      <c r="K222" s="22" t="s">
        <v>310</v>
      </c>
      <c r="L222" s="27">
        <f t="shared" si="21"/>
        <v>45991</v>
      </c>
      <c r="M222" s="29">
        <f t="shared" ca="1" si="22"/>
        <v>11</v>
      </c>
      <c r="N222" s="23">
        <f t="shared" ca="1" si="23"/>
        <v>342</v>
      </c>
      <c r="O222" s="24">
        <f t="shared" si="24"/>
        <v>0.15701356005165734</v>
      </c>
      <c r="P222" s="22" t="str">
        <f t="shared" si="25"/>
        <v>Repeat</v>
      </c>
      <c r="Q222" s="22" t="str">
        <f t="shared" si="26"/>
        <v>PRI-1125-18584</v>
      </c>
      <c r="R222" s="22" t="str">
        <f t="shared" si="27"/>
        <v>DT</v>
      </c>
      <c r="S222" s="29">
        <f>IF(AND(OR(FILTER_Demo!$B$3="All",G222=FILTER_Demo!$B$3),OR(FILTER_Demo!$B$4="All",C222=FILTER_Demo!$B$4),F222&gt;=FILTER_Demo!$B$5),1,0)</f>
        <v>0</v>
      </c>
      <c r="T222" s="29" t="str">
        <f>IF(S222=1,SUM($S$2:S222),"")</f>
        <v/>
      </c>
    </row>
    <row r="223" spans="1:20" x14ac:dyDescent="0.3">
      <c r="A223" s="22" t="s">
        <v>463</v>
      </c>
      <c r="B223" s="27">
        <v>45985</v>
      </c>
      <c r="C223" s="22" t="s">
        <v>39</v>
      </c>
      <c r="D223" s="22">
        <v>2</v>
      </c>
      <c r="E223" s="23">
        <v>18961</v>
      </c>
      <c r="F223" s="23">
        <v>37922</v>
      </c>
      <c r="G223" s="22" t="s">
        <v>49</v>
      </c>
      <c r="H223" s="28">
        <v>4613.54</v>
      </c>
      <c r="I223" s="22" t="s">
        <v>190</v>
      </c>
      <c r="J223" s="22" t="s">
        <v>68</v>
      </c>
      <c r="K223" s="22" t="s">
        <v>191</v>
      </c>
      <c r="L223" s="27">
        <f t="shared" si="21"/>
        <v>45991</v>
      </c>
      <c r="M223" s="29">
        <f t="shared" ca="1" si="22"/>
        <v>11</v>
      </c>
      <c r="N223" s="23">
        <f t="shared" ca="1" si="23"/>
        <v>340</v>
      </c>
      <c r="O223" s="24">
        <f t="shared" si="24"/>
        <v>0.12165866779178314</v>
      </c>
      <c r="P223" s="22" t="str">
        <f t="shared" si="25"/>
        <v>Repeat</v>
      </c>
      <c r="Q223" s="22" t="str">
        <f t="shared" si="26"/>
        <v>TAB-1125-37922</v>
      </c>
      <c r="R223" s="22" t="str">
        <f t="shared" si="27"/>
        <v>PM</v>
      </c>
      <c r="S223" s="29">
        <f>IF(AND(OR(FILTER_Demo!$B$3="All",G223=FILTER_Demo!$B$3),OR(FILTER_Demo!$B$4="All",C223=FILTER_Demo!$B$4),F223&gt;=FILTER_Demo!$B$5),1,0)</f>
        <v>1</v>
      </c>
      <c r="T223" s="29">
        <f>IF(S223=1,SUM($S$2:S223),"")</f>
        <v>18</v>
      </c>
    </row>
    <row r="224" spans="1:20" x14ac:dyDescent="0.3">
      <c r="A224" s="22" t="s">
        <v>464</v>
      </c>
      <c r="B224" s="27">
        <v>45987</v>
      </c>
      <c r="C224" s="22" t="s">
        <v>45</v>
      </c>
      <c r="D224" s="22">
        <v>1</v>
      </c>
      <c r="E224" s="23">
        <v>1800</v>
      </c>
      <c r="F224" s="23">
        <v>1800</v>
      </c>
      <c r="G224" s="22" t="s">
        <v>53</v>
      </c>
      <c r="H224" s="28">
        <v>573.24</v>
      </c>
      <c r="I224" s="22" t="s">
        <v>95</v>
      </c>
      <c r="J224" s="22" t="s">
        <v>66</v>
      </c>
      <c r="K224" s="22" t="s">
        <v>96</v>
      </c>
      <c r="L224" s="27">
        <f t="shared" si="21"/>
        <v>45991</v>
      </c>
      <c r="M224" s="29">
        <f t="shared" ca="1" si="22"/>
        <v>11</v>
      </c>
      <c r="N224" s="23">
        <f t="shared" ca="1" si="23"/>
        <v>338</v>
      </c>
      <c r="O224" s="24">
        <f t="shared" si="24"/>
        <v>0.31846666666666668</v>
      </c>
      <c r="P224" s="22" t="str">
        <f t="shared" si="25"/>
        <v>Repeat</v>
      </c>
      <c r="Q224" s="22" t="str">
        <f t="shared" si="26"/>
        <v>KEY-1125-01800</v>
      </c>
      <c r="R224" s="22" t="str">
        <f t="shared" si="27"/>
        <v>AT</v>
      </c>
      <c r="S224" s="29">
        <f>IF(AND(OR(FILTER_Demo!$B$3="All",G224=FILTER_Demo!$B$3),OR(FILTER_Demo!$B$4="All",C224=FILTER_Demo!$B$4),F224&gt;=FILTER_Demo!$B$5),1,0)</f>
        <v>0</v>
      </c>
      <c r="T224" s="29" t="str">
        <f>IF(S224=1,SUM($S$2:S224),"")</f>
        <v/>
      </c>
    </row>
    <row r="225" spans="1:20" x14ac:dyDescent="0.3">
      <c r="A225" s="22" t="s">
        <v>465</v>
      </c>
      <c r="B225" s="27">
        <v>45988</v>
      </c>
      <c r="C225" s="22" t="s">
        <v>38</v>
      </c>
      <c r="D225" s="22">
        <v>3</v>
      </c>
      <c r="E225" s="23">
        <v>10930</v>
      </c>
      <c r="F225" s="23">
        <v>32790</v>
      </c>
      <c r="G225" s="22" t="s">
        <v>49</v>
      </c>
      <c r="H225" s="28">
        <v>5421.68</v>
      </c>
      <c r="I225" s="22" t="s">
        <v>144</v>
      </c>
      <c r="J225" s="22" t="s">
        <v>67</v>
      </c>
      <c r="K225" s="22" t="s">
        <v>145</v>
      </c>
      <c r="L225" s="27">
        <f t="shared" si="21"/>
        <v>45991</v>
      </c>
      <c r="M225" s="29">
        <f t="shared" ca="1" si="22"/>
        <v>11</v>
      </c>
      <c r="N225" s="23">
        <f t="shared" ca="1" si="23"/>
        <v>337</v>
      </c>
      <c r="O225" s="24">
        <f t="shared" si="24"/>
        <v>0.16534553217444345</v>
      </c>
      <c r="P225" s="22" t="str">
        <f t="shared" si="25"/>
        <v>Repeat</v>
      </c>
      <c r="Q225" s="22" t="str">
        <f t="shared" si="26"/>
        <v>MON-1125-32790</v>
      </c>
      <c r="R225" s="22" t="str">
        <f t="shared" si="27"/>
        <v>AS</v>
      </c>
      <c r="S225" s="29">
        <f>IF(AND(OR(FILTER_Demo!$B$3="All",G225=FILTER_Demo!$B$3),OR(FILTER_Demo!$B$4="All",C225=FILTER_Demo!$B$4),F225&gt;=FILTER_Demo!$B$5),1,0)</f>
        <v>0</v>
      </c>
      <c r="T225" s="29" t="str">
        <f>IF(S225=1,SUM($S$2:S225),"")</f>
        <v/>
      </c>
    </row>
    <row r="226" spans="1:20" x14ac:dyDescent="0.3">
      <c r="A226" s="22" t="s">
        <v>466</v>
      </c>
      <c r="B226" s="27">
        <v>45988</v>
      </c>
      <c r="C226" s="22" t="s">
        <v>40</v>
      </c>
      <c r="D226" s="22">
        <v>4</v>
      </c>
      <c r="E226" s="23">
        <v>7759</v>
      </c>
      <c r="F226" s="23">
        <v>31036</v>
      </c>
      <c r="G226" s="22" t="s">
        <v>51</v>
      </c>
      <c r="H226" s="28">
        <v>6292.17</v>
      </c>
      <c r="I226" s="22" t="s">
        <v>414</v>
      </c>
      <c r="J226" s="22" t="s">
        <v>64</v>
      </c>
      <c r="K226" s="22" t="s">
        <v>415</v>
      </c>
      <c r="L226" s="27">
        <f t="shared" si="21"/>
        <v>45991</v>
      </c>
      <c r="M226" s="29">
        <f t="shared" ca="1" si="22"/>
        <v>11</v>
      </c>
      <c r="N226" s="23">
        <f t="shared" ca="1" si="23"/>
        <v>337</v>
      </c>
      <c r="O226" s="24">
        <f t="shared" si="24"/>
        <v>0.20273778837479056</v>
      </c>
      <c r="P226" s="22" t="str">
        <f t="shared" si="25"/>
        <v>Repeat</v>
      </c>
      <c r="Q226" s="22" t="str">
        <f t="shared" si="26"/>
        <v>SMA-1125-31036</v>
      </c>
      <c r="R226" s="22" t="str">
        <f t="shared" si="27"/>
        <v>VG</v>
      </c>
      <c r="S226" s="29">
        <f>IF(AND(OR(FILTER_Demo!$B$3="All",G226=FILTER_Demo!$B$3),OR(FILTER_Demo!$B$4="All",C226=FILTER_Demo!$B$4),F226&gt;=FILTER_Demo!$B$5),1,0)</f>
        <v>0</v>
      </c>
      <c r="T226" s="29" t="str">
        <f>IF(S226=1,SUM($S$2:S226),"")</f>
        <v/>
      </c>
    </row>
    <row r="227" spans="1:20" x14ac:dyDescent="0.3">
      <c r="A227" s="22" t="s">
        <v>467</v>
      </c>
      <c r="B227" s="27">
        <v>45991</v>
      </c>
      <c r="C227" s="22" t="s">
        <v>46</v>
      </c>
      <c r="D227" s="22">
        <v>1</v>
      </c>
      <c r="E227" s="23">
        <v>936</v>
      </c>
      <c r="F227" s="23">
        <v>936</v>
      </c>
      <c r="G227" s="22" t="s">
        <v>55</v>
      </c>
      <c r="H227" s="28">
        <v>313.82</v>
      </c>
      <c r="I227" s="22" t="s">
        <v>165</v>
      </c>
      <c r="J227" s="22" t="s">
        <v>67</v>
      </c>
      <c r="K227" s="22" t="s">
        <v>166</v>
      </c>
      <c r="L227" s="27">
        <f t="shared" si="21"/>
        <v>45991</v>
      </c>
      <c r="M227" s="29">
        <f t="shared" ca="1" si="22"/>
        <v>11</v>
      </c>
      <c r="N227" s="23">
        <f t="shared" ca="1" si="23"/>
        <v>334</v>
      </c>
      <c r="O227" s="24">
        <f t="shared" si="24"/>
        <v>0.33527777777777779</v>
      </c>
      <c r="P227" s="22" t="str">
        <f t="shared" si="25"/>
        <v>Repeat</v>
      </c>
      <c r="Q227" s="22" t="str">
        <f t="shared" si="26"/>
        <v>MOU-1125-00936</v>
      </c>
      <c r="R227" s="22" t="str">
        <f t="shared" si="27"/>
        <v>KS</v>
      </c>
      <c r="S227" s="29">
        <f>IF(AND(OR(FILTER_Demo!$B$3="All",G227=FILTER_Demo!$B$3),OR(FILTER_Demo!$B$4="All",C227=FILTER_Demo!$B$4),F227&gt;=FILTER_Demo!$B$5),1,0)</f>
        <v>0</v>
      </c>
      <c r="T227" s="29" t="str">
        <f>IF(S227=1,SUM($S$2:S227),"")</f>
        <v/>
      </c>
    </row>
    <row r="228" spans="1:20" x14ac:dyDescent="0.3">
      <c r="A228" s="22" t="s">
        <v>468</v>
      </c>
      <c r="B228" s="27">
        <v>45992</v>
      </c>
      <c r="C228" s="22" t="s">
        <v>38</v>
      </c>
      <c r="D228" s="22">
        <v>3</v>
      </c>
      <c r="E228" s="23">
        <v>12488</v>
      </c>
      <c r="F228" s="23">
        <v>37464</v>
      </c>
      <c r="G228" s="22" t="s">
        <v>55</v>
      </c>
      <c r="H228" s="28">
        <v>6037.99</v>
      </c>
      <c r="I228" s="22" t="s">
        <v>469</v>
      </c>
      <c r="J228" s="22" t="s">
        <v>68</v>
      </c>
      <c r="K228" s="22" t="s">
        <v>470</v>
      </c>
      <c r="L228" s="27">
        <f t="shared" si="21"/>
        <v>46022</v>
      </c>
      <c r="M228" s="29">
        <f t="shared" ca="1" si="22"/>
        <v>10</v>
      </c>
      <c r="N228" s="23">
        <f t="shared" ca="1" si="23"/>
        <v>333</v>
      </c>
      <c r="O228" s="24">
        <f t="shared" si="24"/>
        <v>0.16116778774289983</v>
      </c>
      <c r="P228" s="22" t="str">
        <f t="shared" si="25"/>
        <v>One-time</v>
      </c>
      <c r="Q228" s="22" t="str">
        <f t="shared" si="26"/>
        <v>MON-1225-37464</v>
      </c>
      <c r="R228" s="22" t="str">
        <f t="shared" si="27"/>
        <v>KB</v>
      </c>
      <c r="S228" s="29">
        <f>IF(AND(OR(FILTER_Demo!$B$3="All",G228=FILTER_Demo!$B$3),OR(FILTER_Demo!$B$4="All",C228=FILTER_Demo!$B$4),F228&gt;=FILTER_Demo!$B$5),1,0)</f>
        <v>0</v>
      </c>
      <c r="T228" s="29" t="str">
        <f>IF(S228=1,SUM($S$2:S228),"")</f>
        <v/>
      </c>
    </row>
    <row r="229" spans="1:20" x14ac:dyDescent="0.3">
      <c r="A229" s="22" t="s">
        <v>471</v>
      </c>
      <c r="B229" s="27">
        <v>45992</v>
      </c>
      <c r="C229" s="22" t="s">
        <v>35</v>
      </c>
      <c r="D229" s="22">
        <v>1</v>
      </c>
      <c r="E229" s="23">
        <v>44954</v>
      </c>
      <c r="F229" s="23">
        <v>44954</v>
      </c>
      <c r="G229" s="22" t="s">
        <v>53</v>
      </c>
      <c r="H229" s="28">
        <v>8012.33</v>
      </c>
      <c r="I229" s="22" t="s">
        <v>235</v>
      </c>
      <c r="J229" s="22" t="s">
        <v>68</v>
      </c>
      <c r="K229" s="22" t="s">
        <v>236</v>
      </c>
      <c r="L229" s="27">
        <f t="shared" si="21"/>
        <v>46022</v>
      </c>
      <c r="M229" s="29">
        <f t="shared" ca="1" si="22"/>
        <v>10</v>
      </c>
      <c r="N229" s="23">
        <f t="shared" ca="1" si="23"/>
        <v>333</v>
      </c>
      <c r="O229" s="24">
        <f t="shared" si="24"/>
        <v>0.17823397250522757</v>
      </c>
      <c r="P229" s="22" t="str">
        <f t="shared" si="25"/>
        <v>Repeat</v>
      </c>
      <c r="Q229" s="22" t="str">
        <f t="shared" si="26"/>
        <v>LAP-1225-44954</v>
      </c>
      <c r="R229" s="22" t="str">
        <f t="shared" si="27"/>
        <v>RD</v>
      </c>
      <c r="S229" s="29">
        <f>IF(AND(OR(FILTER_Demo!$B$3="All",G229=FILTER_Demo!$B$3),OR(FILTER_Demo!$B$4="All",C229=FILTER_Demo!$B$4),F229&gt;=FILTER_Demo!$B$5),1,0)</f>
        <v>0</v>
      </c>
      <c r="T229" s="29" t="str">
        <f>IF(S229=1,SUM($S$2:S229),"")</f>
        <v/>
      </c>
    </row>
    <row r="230" spans="1:20" x14ac:dyDescent="0.3">
      <c r="A230" s="22" t="s">
        <v>472</v>
      </c>
      <c r="B230" s="27">
        <v>45993</v>
      </c>
      <c r="C230" s="22" t="s">
        <v>43</v>
      </c>
      <c r="D230" s="22">
        <v>1</v>
      </c>
      <c r="E230" s="23">
        <v>3271</v>
      </c>
      <c r="F230" s="23">
        <v>3271</v>
      </c>
      <c r="G230" s="22" t="s">
        <v>49</v>
      </c>
      <c r="H230" s="28">
        <v>704.2</v>
      </c>
      <c r="I230" s="22" t="s">
        <v>287</v>
      </c>
      <c r="J230" s="22" t="s">
        <v>67</v>
      </c>
      <c r="K230" s="22" t="s">
        <v>288</v>
      </c>
      <c r="L230" s="27">
        <f t="shared" si="21"/>
        <v>46022</v>
      </c>
      <c r="M230" s="29">
        <f t="shared" ca="1" si="22"/>
        <v>10</v>
      </c>
      <c r="N230" s="23">
        <f t="shared" ca="1" si="23"/>
        <v>332</v>
      </c>
      <c r="O230" s="24">
        <f t="shared" si="24"/>
        <v>0.21528584530724551</v>
      </c>
      <c r="P230" s="22" t="str">
        <f t="shared" si="25"/>
        <v>Repeat</v>
      </c>
      <c r="Q230" s="22" t="str">
        <f t="shared" si="26"/>
        <v>HEA-1225-03271</v>
      </c>
      <c r="R230" s="22" t="str">
        <f t="shared" si="27"/>
        <v>SP</v>
      </c>
      <c r="S230" s="29">
        <f>IF(AND(OR(FILTER_Demo!$B$3="All",G230=FILTER_Demo!$B$3),OR(FILTER_Demo!$B$4="All",C230=FILTER_Demo!$B$4),F230&gt;=FILTER_Demo!$B$5),1,0)</f>
        <v>0</v>
      </c>
      <c r="T230" s="29" t="str">
        <f>IF(S230=1,SUM($S$2:S230),"")</f>
        <v/>
      </c>
    </row>
    <row r="231" spans="1:20" x14ac:dyDescent="0.3">
      <c r="A231" s="22" t="s">
        <v>473</v>
      </c>
      <c r="B231" s="27">
        <v>45993</v>
      </c>
      <c r="C231" s="22" t="s">
        <v>36</v>
      </c>
      <c r="D231" s="22">
        <v>2</v>
      </c>
      <c r="E231" s="23">
        <v>20422</v>
      </c>
      <c r="F231" s="23">
        <v>40844</v>
      </c>
      <c r="G231" s="22" t="s">
        <v>53</v>
      </c>
      <c r="H231" s="28">
        <v>4287.8900000000003</v>
      </c>
      <c r="I231" s="22" t="s">
        <v>151</v>
      </c>
      <c r="J231" s="22" t="s">
        <v>68</v>
      </c>
      <c r="K231" s="22" t="s">
        <v>152</v>
      </c>
      <c r="L231" s="27">
        <f t="shared" si="21"/>
        <v>46022</v>
      </c>
      <c r="M231" s="29">
        <f t="shared" ca="1" si="22"/>
        <v>10</v>
      </c>
      <c r="N231" s="23">
        <f t="shared" ca="1" si="23"/>
        <v>332</v>
      </c>
      <c r="O231" s="24">
        <f t="shared" si="24"/>
        <v>0.10498212711781413</v>
      </c>
      <c r="P231" s="22" t="str">
        <f t="shared" si="25"/>
        <v>Repeat</v>
      </c>
      <c r="Q231" s="22" t="str">
        <f t="shared" si="26"/>
        <v>SMA-1225-40844</v>
      </c>
      <c r="R231" s="22" t="str">
        <f t="shared" si="27"/>
        <v>AM</v>
      </c>
      <c r="S231" s="29">
        <f>IF(AND(OR(FILTER_Demo!$B$3="All",G231=FILTER_Demo!$B$3),OR(FILTER_Demo!$B$4="All",C231=FILTER_Demo!$B$4),F231&gt;=FILTER_Demo!$B$5),1,0)</f>
        <v>0</v>
      </c>
      <c r="T231" s="29" t="str">
        <f>IF(S231=1,SUM($S$2:S231),"")</f>
        <v/>
      </c>
    </row>
    <row r="232" spans="1:20" x14ac:dyDescent="0.3">
      <c r="A232" s="22" t="s">
        <v>474</v>
      </c>
      <c r="B232" s="27">
        <v>45993</v>
      </c>
      <c r="C232" s="22" t="s">
        <v>40</v>
      </c>
      <c r="D232" s="22">
        <v>1</v>
      </c>
      <c r="E232" s="23">
        <v>8579</v>
      </c>
      <c r="F232" s="23">
        <v>8579</v>
      </c>
      <c r="G232" s="22" t="s">
        <v>52</v>
      </c>
      <c r="H232" s="28">
        <v>1156.28</v>
      </c>
      <c r="I232" s="22" t="s">
        <v>184</v>
      </c>
      <c r="J232" s="22" t="s">
        <v>64</v>
      </c>
      <c r="K232" s="22" t="s">
        <v>185</v>
      </c>
      <c r="L232" s="27">
        <f t="shared" si="21"/>
        <v>46022</v>
      </c>
      <c r="M232" s="29">
        <f t="shared" ca="1" si="22"/>
        <v>10</v>
      </c>
      <c r="N232" s="23">
        <f t="shared" ca="1" si="23"/>
        <v>332</v>
      </c>
      <c r="O232" s="24">
        <f t="shared" si="24"/>
        <v>0.13478027742161092</v>
      </c>
      <c r="P232" s="22" t="str">
        <f t="shared" si="25"/>
        <v>Repeat</v>
      </c>
      <c r="Q232" s="22" t="str">
        <f t="shared" si="26"/>
        <v>SMA-1225-08579</v>
      </c>
      <c r="R232" s="22" t="str">
        <f t="shared" si="27"/>
        <v>MS</v>
      </c>
      <c r="S232" s="29">
        <f>IF(AND(OR(FILTER_Demo!$B$3="All",G232=FILTER_Demo!$B$3),OR(FILTER_Demo!$B$4="All",C232=FILTER_Demo!$B$4),F232&gt;=FILTER_Demo!$B$5),1,0)</f>
        <v>0</v>
      </c>
      <c r="T232" s="29" t="str">
        <f>IF(S232=1,SUM($S$2:S232),"")</f>
        <v/>
      </c>
    </row>
    <row r="233" spans="1:20" x14ac:dyDescent="0.3">
      <c r="A233" s="22" t="s">
        <v>475</v>
      </c>
      <c r="B233" s="27">
        <v>45994</v>
      </c>
      <c r="C233" s="22" t="s">
        <v>44</v>
      </c>
      <c r="D233" s="22">
        <v>2</v>
      </c>
      <c r="E233" s="23">
        <v>2880</v>
      </c>
      <c r="F233" s="23">
        <v>5760</v>
      </c>
      <c r="G233" s="22" t="s">
        <v>52</v>
      </c>
      <c r="H233" s="28">
        <v>994.32</v>
      </c>
      <c r="I233" s="22" t="s">
        <v>273</v>
      </c>
      <c r="J233" s="22" t="s">
        <v>65</v>
      </c>
      <c r="K233" s="22" t="s">
        <v>274</v>
      </c>
      <c r="L233" s="27">
        <f t="shared" si="21"/>
        <v>46022</v>
      </c>
      <c r="M233" s="29">
        <f t="shared" ca="1" si="22"/>
        <v>10</v>
      </c>
      <c r="N233" s="23">
        <f t="shared" ca="1" si="23"/>
        <v>331</v>
      </c>
      <c r="O233" s="24">
        <f t="shared" si="24"/>
        <v>0.172625</v>
      </c>
      <c r="P233" s="22" t="str">
        <f t="shared" si="25"/>
        <v>Repeat</v>
      </c>
      <c r="Q233" s="22" t="str">
        <f t="shared" si="26"/>
        <v>WEB-1225-05760</v>
      </c>
      <c r="R233" s="22" t="str">
        <f t="shared" si="27"/>
        <v>VN</v>
      </c>
      <c r="S233" s="29">
        <f>IF(AND(OR(FILTER_Demo!$B$3="All",G233=FILTER_Demo!$B$3),OR(FILTER_Demo!$B$4="All",C233=FILTER_Demo!$B$4),F233&gt;=FILTER_Demo!$B$5),1,0)</f>
        <v>0</v>
      </c>
      <c r="T233" s="29" t="str">
        <f>IF(S233=1,SUM($S$2:S233),"")</f>
        <v/>
      </c>
    </row>
    <row r="234" spans="1:20" x14ac:dyDescent="0.3">
      <c r="A234" s="22" t="s">
        <v>476</v>
      </c>
      <c r="B234" s="27">
        <v>45994</v>
      </c>
      <c r="C234" s="22" t="s">
        <v>35</v>
      </c>
      <c r="D234" s="22">
        <v>1</v>
      </c>
      <c r="E234" s="23">
        <v>41108</v>
      </c>
      <c r="F234" s="23">
        <v>41108</v>
      </c>
      <c r="G234" s="22" t="s">
        <v>49</v>
      </c>
      <c r="H234" s="28">
        <v>4690.9399999999996</v>
      </c>
      <c r="I234" s="22" t="s">
        <v>181</v>
      </c>
      <c r="J234" s="22" t="s">
        <v>66</v>
      </c>
      <c r="K234" s="22" t="s">
        <v>182</v>
      </c>
      <c r="L234" s="27">
        <f t="shared" si="21"/>
        <v>46022</v>
      </c>
      <c r="M234" s="29">
        <f t="shared" ca="1" si="22"/>
        <v>10</v>
      </c>
      <c r="N234" s="23">
        <f t="shared" ca="1" si="23"/>
        <v>331</v>
      </c>
      <c r="O234" s="24">
        <f t="shared" si="24"/>
        <v>0.11411258149265349</v>
      </c>
      <c r="P234" s="22" t="str">
        <f t="shared" si="25"/>
        <v>Repeat</v>
      </c>
      <c r="Q234" s="22" t="str">
        <f t="shared" si="26"/>
        <v>LAP-1225-41108</v>
      </c>
      <c r="R234" s="22" t="str">
        <f t="shared" si="27"/>
        <v>ND</v>
      </c>
      <c r="S234" s="29">
        <f>IF(AND(OR(FILTER_Demo!$B$3="All",G234=FILTER_Demo!$B$3),OR(FILTER_Demo!$B$4="All",C234=FILTER_Demo!$B$4),F234&gt;=FILTER_Demo!$B$5),1,0)</f>
        <v>0</v>
      </c>
      <c r="T234" s="29" t="str">
        <f>IF(S234=1,SUM($S$2:S234),"")</f>
        <v/>
      </c>
    </row>
    <row r="235" spans="1:20" x14ac:dyDescent="0.3">
      <c r="A235" s="22" t="s">
        <v>477</v>
      </c>
      <c r="B235" s="27">
        <v>45995</v>
      </c>
      <c r="C235" s="22" t="s">
        <v>39</v>
      </c>
      <c r="D235" s="22">
        <v>5</v>
      </c>
      <c r="E235" s="23">
        <v>17263</v>
      </c>
      <c r="F235" s="23">
        <v>86315</v>
      </c>
      <c r="G235" s="22" t="s">
        <v>53</v>
      </c>
      <c r="H235" s="28">
        <v>15346.33</v>
      </c>
      <c r="I235" s="22" t="s">
        <v>211</v>
      </c>
      <c r="J235" s="22" t="s">
        <v>64</v>
      </c>
      <c r="K235" s="22" t="s">
        <v>212</v>
      </c>
      <c r="L235" s="27">
        <f t="shared" si="21"/>
        <v>46022</v>
      </c>
      <c r="M235" s="29">
        <f t="shared" ca="1" si="22"/>
        <v>10</v>
      </c>
      <c r="N235" s="23">
        <f t="shared" ca="1" si="23"/>
        <v>330</v>
      </c>
      <c r="O235" s="24">
        <f t="shared" si="24"/>
        <v>0.17779447372994264</v>
      </c>
      <c r="P235" s="22" t="str">
        <f t="shared" si="25"/>
        <v>Repeat</v>
      </c>
      <c r="Q235" s="22" t="str">
        <f t="shared" si="26"/>
        <v>TAB-1225-86315</v>
      </c>
      <c r="R235" s="22" t="str">
        <f t="shared" si="27"/>
        <v>KI</v>
      </c>
      <c r="S235" s="29">
        <f>IF(AND(OR(FILTER_Demo!$B$3="All",G235=FILTER_Demo!$B$3),OR(FILTER_Demo!$B$4="All",C235=FILTER_Demo!$B$4),F235&gt;=FILTER_Demo!$B$5),1,0)</f>
        <v>1</v>
      </c>
      <c r="T235" s="29">
        <f>IF(S235=1,SUM($S$2:S235),"")</f>
        <v>19</v>
      </c>
    </row>
    <row r="236" spans="1:20" x14ac:dyDescent="0.3">
      <c r="A236" s="22" t="s">
        <v>478</v>
      </c>
      <c r="B236" s="27">
        <v>45995</v>
      </c>
      <c r="C236" s="22" t="s">
        <v>38</v>
      </c>
      <c r="D236" s="22">
        <v>2</v>
      </c>
      <c r="E236" s="23">
        <v>13069</v>
      </c>
      <c r="F236" s="23">
        <v>26138</v>
      </c>
      <c r="G236" s="22" t="s">
        <v>55</v>
      </c>
      <c r="H236" s="28">
        <v>2727.15</v>
      </c>
      <c r="I236" s="22" t="s">
        <v>460</v>
      </c>
      <c r="J236" s="22" t="s">
        <v>67</v>
      </c>
      <c r="K236" s="22" t="s">
        <v>461</v>
      </c>
      <c r="L236" s="27">
        <f t="shared" si="21"/>
        <v>46022</v>
      </c>
      <c r="M236" s="29">
        <f t="shared" ca="1" si="22"/>
        <v>10</v>
      </c>
      <c r="N236" s="23">
        <f t="shared" ca="1" si="23"/>
        <v>330</v>
      </c>
      <c r="O236" s="24">
        <f t="shared" si="24"/>
        <v>0.10433659805646951</v>
      </c>
      <c r="P236" s="22" t="str">
        <f t="shared" si="25"/>
        <v>Repeat</v>
      </c>
      <c r="Q236" s="22" t="str">
        <f t="shared" si="26"/>
        <v>MON-1225-26138</v>
      </c>
      <c r="R236" s="22" t="str">
        <f t="shared" si="27"/>
        <v>PB</v>
      </c>
      <c r="S236" s="29">
        <f>IF(AND(OR(FILTER_Demo!$B$3="All",G236=FILTER_Demo!$B$3),OR(FILTER_Demo!$B$4="All",C236=FILTER_Demo!$B$4),F236&gt;=FILTER_Demo!$B$5),1,0)</f>
        <v>0</v>
      </c>
      <c r="T236" s="29" t="str">
        <f>IF(S236=1,SUM($S$2:S236),"")</f>
        <v/>
      </c>
    </row>
    <row r="237" spans="1:20" x14ac:dyDescent="0.3">
      <c r="A237" s="22" t="s">
        <v>479</v>
      </c>
      <c r="B237" s="27">
        <v>45998</v>
      </c>
      <c r="C237" s="22" t="s">
        <v>41</v>
      </c>
      <c r="D237" s="22">
        <v>2</v>
      </c>
      <c r="E237" s="23">
        <v>9823</v>
      </c>
      <c r="F237" s="23">
        <v>19646</v>
      </c>
      <c r="G237" s="22" t="s">
        <v>53</v>
      </c>
      <c r="H237" s="28">
        <v>2968.13</v>
      </c>
      <c r="I237" s="22" t="s">
        <v>244</v>
      </c>
      <c r="J237" s="22" t="s">
        <v>66</v>
      </c>
      <c r="K237" s="22" t="s">
        <v>245</v>
      </c>
      <c r="L237" s="27">
        <f t="shared" si="21"/>
        <v>46022</v>
      </c>
      <c r="M237" s="29">
        <f t="shared" ca="1" si="22"/>
        <v>10</v>
      </c>
      <c r="N237" s="23">
        <f t="shared" ca="1" si="23"/>
        <v>327</v>
      </c>
      <c r="O237" s="24">
        <f t="shared" si="24"/>
        <v>0.15108062709966405</v>
      </c>
      <c r="P237" s="22" t="str">
        <f t="shared" si="25"/>
        <v>Repeat</v>
      </c>
      <c r="Q237" s="22" t="str">
        <f t="shared" si="26"/>
        <v>PRI-1225-19646</v>
      </c>
      <c r="R237" s="22" t="str">
        <f t="shared" si="27"/>
        <v>RS</v>
      </c>
      <c r="S237" s="29">
        <f>IF(AND(OR(FILTER_Demo!$B$3="All",G237=FILTER_Demo!$B$3),OR(FILTER_Demo!$B$4="All",C237=FILTER_Demo!$B$4),F237&gt;=FILTER_Demo!$B$5),1,0)</f>
        <v>0</v>
      </c>
      <c r="T237" s="29" t="str">
        <f>IF(S237=1,SUM($S$2:S237),"")</f>
        <v/>
      </c>
    </row>
    <row r="238" spans="1:20" x14ac:dyDescent="0.3">
      <c r="A238" s="22" t="s">
        <v>480</v>
      </c>
      <c r="B238" s="27">
        <v>45999</v>
      </c>
      <c r="C238" s="22" t="s">
        <v>36</v>
      </c>
      <c r="D238" s="22">
        <v>1</v>
      </c>
      <c r="E238" s="23">
        <v>22785</v>
      </c>
      <c r="F238" s="23">
        <v>22785</v>
      </c>
      <c r="G238" s="22" t="s">
        <v>52</v>
      </c>
      <c r="H238" s="28">
        <v>2703.74</v>
      </c>
      <c r="I238" s="22" t="s">
        <v>110</v>
      </c>
      <c r="J238" s="22" t="s">
        <v>65</v>
      </c>
      <c r="K238" s="22" t="s">
        <v>111</v>
      </c>
      <c r="L238" s="27">
        <f t="shared" si="21"/>
        <v>46022</v>
      </c>
      <c r="M238" s="29">
        <f t="shared" ca="1" si="22"/>
        <v>10</v>
      </c>
      <c r="N238" s="23">
        <f t="shared" ca="1" si="23"/>
        <v>326</v>
      </c>
      <c r="O238" s="24">
        <f t="shared" si="24"/>
        <v>0.11866315558481456</v>
      </c>
      <c r="P238" s="22" t="str">
        <f t="shared" si="25"/>
        <v>Repeat</v>
      </c>
      <c r="Q238" s="22" t="str">
        <f t="shared" si="26"/>
        <v>SMA-1225-22785</v>
      </c>
      <c r="R238" s="22" t="str">
        <f t="shared" si="27"/>
        <v>RS</v>
      </c>
      <c r="S238" s="29">
        <f>IF(AND(OR(FILTER_Demo!$B$3="All",G238=FILTER_Demo!$B$3),OR(FILTER_Demo!$B$4="All",C238=FILTER_Demo!$B$4),F238&gt;=FILTER_Demo!$B$5),1,0)</f>
        <v>0</v>
      </c>
      <c r="T238" s="29" t="str">
        <f>IF(S238=1,SUM($S$2:S238),"")</f>
        <v/>
      </c>
    </row>
    <row r="239" spans="1:20" x14ac:dyDescent="0.3">
      <c r="A239" s="22" t="s">
        <v>481</v>
      </c>
      <c r="B239" s="27">
        <v>46002</v>
      </c>
      <c r="C239" s="22" t="s">
        <v>44</v>
      </c>
      <c r="D239" s="22">
        <v>1</v>
      </c>
      <c r="E239" s="23">
        <v>2978</v>
      </c>
      <c r="F239" s="23">
        <v>2978</v>
      </c>
      <c r="G239" s="22" t="s">
        <v>52</v>
      </c>
      <c r="H239" s="28">
        <v>729.95</v>
      </c>
      <c r="I239" s="22" t="s">
        <v>116</v>
      </c>
      <c r="J239" s="22" t="s">
        <v>65</v>
      </c>
      <c r="K239" s="22" t="s">
        <v>117</v>
      </c>
      <c r="L239" s="27">
        <f t="shared" si="21"/>
        <v>46022</v>
      </c>
      <c r="M239" s="29">
        <f t="shared" ca="1" si="22"/>
        <v>10</v>
      </c>
      <c r="N239" s="23">
        <f t="shared" ca="1" si="23"/>
        <v>323</v>
      </c>
      <c r="O239" s="24">
        <f t="shared" si="24"/>
        <v>0.24511417058428478</v>
      </c>
      <c r="P239" s="22" t="str">
        <f t="shared" si="25"/>
        <v>Repeat</v>
      </c>
      <c r="Q239" s="22" t="str">
        <f t="shared" si="26"/>
        <v>WEB-1225-02978</v>
      </c>
      <c r="R239" s="22" t="str">
        <f t="shared" si="27"/>
        <v>VI</v>
      </c>
      <c r="S239" s="29">
        <f>IF(AND(OR(FILTER_Demo!$B$3="All",G239=FILTER_Demo!$B$3),OR(FILTER_Demo!$B$4="All",C239=FILTER_Demo!$B$4),F239&gt;=FILTER_Demo!$B$5),1,0)</f>
        <v>0</v>
      </c>
      <c r="T239" s="29" t="str">
        <f>IF(S239=1,SUM($S$2:S239),"")</f>
        <v/>
      </c>
    </row>
    <row r="240" spans="1:20" x14ac:dyDescent="0.3">
      <c r="A240" s="22" t="s">
        <v>482</v>
      </c>
      <c r="B240" s="27">
        <v>46003</v>
      </c>
      <c r="C240" s="22" t="s">
        <v>36</v>
      </c>
      <c r="D240" s="22">
        <v>1</v>
      </c>
      <c r="E240" s="23">
        <v>24053</v>
      </c>
      <c r="F240" s="23">
        <v>24053</v>
      </c>
      <c r="G240" s="22" t="s">
        <v>53</v>
      </c>
      <c r="H240" s="28">
        <v>3752.61</v>
      </c>
      <c r="I240" s="22" t="s">
        <v>443</v>
      </c>
      <c r="J240" s="22" t="s">
        <v>66</v>
      </c>
      <c r="K240" s="22" t="s">
        <v>444</v>
      </c>
      <c r="L240" s="27">
        <f t="shared" si="21"/>
        <v>46022</v>
      </c>
      <c r="M240" s="29">
        <f t="shared" ca="1" si="22"/>
        <v>10</v>
      </c>
      <c r="N240" s="23">
        <f t="shared" ca="1" si="23"/>
        <v>322</v>
      </c>
      <c r="O240" s="24">
        <f t="shared" si="24"/>
        <v>0.15601421860059037</v>
      </c>
      <c r="P240" s="22" t="str">
        <f t="shared" si="25"/>
        <v>Repeat</v>
      </c>
      <c r="Q240" s="22" t="str">
        <f t="shared" si="26"/>
        <v>SMA-1225-24053</v>
      </c>
      <c r="R240" s="22" t="str">
        <f t="shared" si="27"/>
        <v>AV</v>
      </c>
      <c r="S240" s="29">
        <f>IF(AND(OR(FILTER_Demo!$B$3="All",G240=FILTER_Demo!$B$3),OR(FILTER_Demo!$B$4="All",C240=FILTER_Demo!$B$4),F240&gt;=FILTER_Demo!$B$5),1,0)</f>
        <v>0</v>
      </c>
      <c r="T240" s="29" t="str">
        <f>IF(S240=1,SUM($S$2:S240),"")</f>
        <v/>
      </c>
    </row>
    <row r="241" spans="1:20" x14ac:dyDescent="0.3">
      <c r="A241" s="22" t="s">
        <v>483</v>
      </c>
      <c r="B241" s="27">
        <v>46006</v>
      </c>
      <c r="C241" s="22" t="s">
        <v>38</v>
      </c>
      <c r="D241" s="22">
        <v>3</v>
      </c>
      <c r="E241" s="23">
        <v>11471</v>
      </c>
      <c r="F241" s="23">
        <v>34413</v>
      </c>
      <c r="G241" s="22" t="s">
        <v>55</v>
      </c>
      <c r="H241" s="28">
        <v>6845.06</v>
      </c>
      <c r="I241" s="22" t="s">
        <v>484</v>
      </c>
      <c r="J241" s="22" t="s">
        <v>65</v>
      </c>
      <c r="K241" s="22" t="s">
        <v>485</v>
      </c>
      <c r="L241" s="27">
        <f t="shared" si="21"/>
        <v>46022</v>
      </c>
      <c r="M241" s="29">
        <f t="shared" ca="1" si="22"/>
        <v>10</v>
      </c>
      <c r="N241" s="23">
        <f t="shared" ca="1" si="23"/>
        <v>319</v>
      </c>
      <c r="O241" s="24">
        <f t="shared" si="24"/>
        <v>0.1989091331764159</v>
      </c>
      <c r="P241" s="22" t="str">
        <f t="shared" si="25"/>
        <v>Repeat</v>
      </c>
      <c r="Q241" s="22" t="str">
        <f t="shared" si="26"/>
        <v>MON-1225-34413</v>
      </c>
      <c r="R241" s="22" t="str">
        <f t="shared" si="27"/>
        <v>IV</v>
      </c>
      <c r="S241" s="29">
        <f>IF(AND(OR(FILTER_Demo!$B$3="All",G241=FILTER_Demo!$B$3),OR(FILTER_Demo!$B$4="All",C241=FILTER_Demo!$B$4),F241&gt;=FILTER_Demo!$B$5),1,0)</f>
        <v>0</v>
      </c>
      <c r="T241" s="29" t="str">
        <f>IF(S241=1,SUM($S$2:S241),"")</f>
        <v/>
      </c>
    </row>
    <row r="242" spans="1:20" x14ac:dyDescent="0.3">
      <c r="A242" s="22" t="s">
        <v>486</v>
      </c>
      <c r="B242" s="27">
        <v>46008</v>
      </c>
      <c r="C242" s="22" t="s">
        <v>39</v>
      </c>
      <c r="D242" s="22">
        <v>2</v>
      </c>
      <c r="E242" s="23">
        <v>17288</v>
      </c>
      <c r="F242" s="23">
        <v>34576</v>
      </c>
      <c r="G242" s="22" t="s">
        <v>53</v>
      </c>
      <c r="H242" s="28">
        <v>3612.77</v>
      </c>
      <c r="I242" s="22" t="s">
        <v>460</v>
      </c>
      <c r="J242" s="22" t="s">
        <v>67</v>
      </c>
      <c r="K242" s="22" t="s">
        <v>461</v>
      </c>
      <c r="L242" s="27">
        <f t="shared" si="21"/>
        <v>46022</v>
      </c>
      <c r="M242" s="29">
        <f t="shared" ca="1" si="22"/>
        <v>10</v>
      </c>
      <c r="N242" s="23">
        <f t="shared" ca="1" si="23"/>
        <v>317</v>
      </c>
      <c r="O242" s="24">
        <f t="shared" si="24"/>
        <v>0.10448779500231374</v>
      </c>
      <c r="P242" s="22" t="str">
        <f t="shared" si="25"/>
        <v>Repeat</v>
      </c>
      <c r="Q242" s="22" t="str">
        <f t="shared" si="26"/>
        <v>TAB-1225-34576</v>
      </c>
      <c r="R242" s="22" t="str">
        <f t="shared" si="27"/>
        <v>PB</v>
      </c>
      <c r="S242" s="29">
        <f>IF(AND(OR(FILTER_Demo!$B$3="All",G242=FILTER_Demo!$B$3),OR(FILTER_Demo!$B$4="All",C242=FILTER_Demo!$B$4),F242&gt;=FILTER_Demo!$B$5),1,0)</f>
        <v>1</v>
      </c>
      <c r="T242" s="29">
        <f>IF(S242=1,SUM($S$2:S242),"")</f>
        <v>20</v>
      </c>
    </row>
    <row r="243" spans="1:20" x14ac:dyDescent="0.3">
      <c r="A243" s="22" t="s">
        <v>487</v>
      </c>
      <c r="B243" s="27">
        <v>46009</v>
      </c>
      <c r="C243" s="22" t="s">
        <v>35</v>
      </c>
      <c r="D243" s="22">
        <v>1</v>
      </c>
      <c r="E243" s="23">
        <v>44811</v>
      </c>
      <c r="F243" s="23">
        <v>44811</v>
      </c>
      <c r="G243" s="22" t="s">
        <v>49</v>
      </c>
      <c r="H243" s="28">
        <v>5832.68</v>
      </c>
      <c r="I243" s="22" t="s">
        <v>263</v>
      </c>
      <c r="J243" s="22" t="s">
        <v>67</v>
      </c>
      <c r="K243" s="22" t="s">
        <v>264</v>
      </c>
      <c r="L243" s="27">
        <f t="shared" si="21"/>
        <v>46022</v>
      </c>
      <c r="M243" s="29">
        <f t="shared" ca="1" si="22"/>
        <v>10</v>
      </c>
      <c r="N243" s="23">
        <f t="shared" ca="1" si="23"/>
        <v>316</v>
      </c>
      <c r="O243" s="24">
        <f t="shared" si="24"/>
        <v>0.13016179063176453</v>
      </c>
      <c r="P243" s="22" t="str">
        <f t="shared" si="25"/>
        <v>Repeat</v>
      </c>
      <c r="Q243" s="22" t="str">
        <f t="shared" si="26"/>
        <v>LAP-1225-44811</v>
      </c>
      <c r="R243" s="22" t="str">
        <f t="shared" si="27"/>
        <v>MJ</v>
      </c>
      <c r="S243" s="29">
        <f>IF(AND(OR(FILTER_Demo!$B$3="All",G243=FILTER_Demo!$B$3),OR(FILTER_Demo!$B$4="All",C243=FILTER_Demo!$B$4),F243&gt;=FILTER_Demo!$B$5),1,0)</f>
        <v>0</v>
      </c>
      <c r="T243" s="29" t="str">
        <f>IF(S243=1,SUM($S$2:S243),"")</f>
        <v/>
      </c>
    </row>
    <row r="244" spans="1:20" x14ac:dyDescent="0.3">
      <c r="A244" s="22" t="s">
        <v>488</v>
      </c>
      <c r="B244" s="27">
        <v>46009</v>
      </c>
      <c r="C244" s="22" t="s">
        <v>46</v>
      </c>
      <c r="D244" s="22">
        <v>1</v>
      </c>
      <c r="E244" s="23">
        <v>856</v>
      </c>
      <c r="F244" s="23">
        <v>856</v>
      </c>
      <c r="G244" s="22" t="s">
        <v>53</v>
      </c>
      <c r="H244" s="28">
        <v>295.63</v>
      </c>
      <c r="I244" s="22" t="s">
        <v>314</v>
      </c>
      <c r="J244" s="22" t="s">
        <v>64</v>
      </c>
      <c r="K244" s="22" t="s">
        <v>315</v>
      </c>
      <c r="L244" s="27">
        <f t="shared" si="21"/>
        <v>46022</v>
      </c>
      <c r="M244" s="29">
        <f t="shared" ca="1" si="22"/>
        <v>10</v>
      </c>
      <c r="N244" s="23">
        <f t="shared" ca="1" si="23"/>
        <v>316</v>
      </c>
      <c r="O244" s="24">
        <f t="shared" si="24"/>
        <v>0.34536214953271027</v>
      </c>
      <c r="P244" s="22" t="str">
        <f t="shared" si="25"/>
        <v>Repeat</v>
      </c>
      <c r="Q244" s="22" t="str">
        <f t="shared" si="26"/>
        <v>MOU-1225-00856</v>
      </c>
      <c r="R244" s="22" t="str">
        <f t="shared" si="27"/>
        <v>SR</v>
      </c>
      <c r="S244" s="29">
        <f>IF(AND(OR(FILTER_Demo!$B$3="All",G244=FILTER_Demo!$B$3),OR(FILTER_Demo!$B$4="All",C244=FILTER_Demo!$B$4),F244&gt;=FILTER_Demo!$B$5),1,0)</f>
        <v>0</v>
      </c>
      <c r="T244" s="29" t="str">
        <f>IF(S244=1,SUM($S$2:S244),"")</f>
        <v/>
      </c>
    </row>
    <row r="245" spans="1:20" x14ac:dyDescent="0.3">
      <c r="A245" s="22" t="s">
        <v>489</v>
      </c>
      <c r="B245" s="27">
        <v>46011</v>
      </c>
      <c r="C245" s="22" t="s">
        <v>46</v>
      </c>
      <c r="D245" s="22">
        <v>1</v>
      </c>
      <c r="E245" s="23">
        <v>939</v>
      </c>
      <c r="F245" s="23">
        <v>939</v>
      </c>
      <c r="G245" s="22" t="s">
        <v>51</v>
      </c>
      <c r="H245" s="28">
        <v>241.89</v>
      </c>
      <c r="I245" s="22" t="s">
        <v>195</v>
      </c>
      <c r="J245" s="22" t="s">
        <v>66</v>
      </c>
      <c r="K245" s="22" t="s">
        <v>196</v>
      </c>
      <c r="L245" s="27">
        <f t="shared" si="21"/>
        <v>46022</v>
      </c>
      <c r="M245" s="29">
        <f t="shared" ca="1" si="22"/>
        <v>10</v>
      </c>
      <c r="N245" s="23">
        <f t="shared" ca="1" si="23"/>
        <v>314</v>
      </c>
      <c r="O245" s="24">
        <f t="shared" si="24"/>
        <v>0.2576038338658147</v>
      </c>
      <c r="P245" s="22" t="str">
        <f t="shared" si="25"/>
        <v>Repeat</v>
      </c>
      <c r="Q245" s="22" t="str">
        <f t="shared" si="26"/>
        <v>MOU-1225-00939</v>
      </c>
      <c r="R245" s="22" t="str">
        <f t="shared" si="27"/>
        <v>AK</v>
      </c>
      <c r="S245" s="29">
        <f>IF(AND(OR(FILTER_Demo!$B$3="All",G245=FILTER_Demo!$B$3),OR(FILTER_Demo!$B$4="All",C245=FILTER_Demo!$B$4),F245&gt;=FILTER_Demo!$B$5),1,0)</f>
        <v>0</v>
      </c>
      <c r="T245" s="29" t="str">
        <f>IF(S245=1,SUM($S$2:S245),"")</f>
        <v/>
      </c>
    </row>
    <row r="246" spans="1:20" x14ac:dyDescent="0.3">
      <c r="A246" s="22" t="s">
        <v>490</v>
      </c>
      <c r="B246" s="27">
        <v>46014</v>
      </c>
      <c r="C246" s="22" t="s">
        <v>39</v>
      </c>
      <c r="D246" s="22">
        <v>2</v>
      </c>
      <c r="E246" s="23">
        <v>18601</v>
      </c>
      <c r="F246" s="23">
        <v>37202</v>
      </c>
      <c r="G246" s="22" t="s">
        <v>52</v>
      </c>
      <c r="H246" s="28">
        <v>4189.63</v>
      </c>
      <c r="I246" s="22" t="s">
        <v>328</v>
      </c>
      <c r="J246" s="22" t="s">
        <v>65</v>
      </c>
      <c r="K246" s="22" t="s">
        <v>329</v>
      </c>
      <c r="L246" s="27">
        <f t="shared" si="21"/>
        <v>46022</v>
      </c>
      <c r="M246" s="29">
        <f t="shared" ca="1" si="22"/>
        <v>10</v>
      </c>
      <c r="N246" s="23">
        <f t="shared" ca="1" si="23"/>
        <v>311</v>
      </c>
      <c r="O246" s="24">
        <f t="shared" si="24"/>
        <v>0.11261840761249395</v>
      </c>
      <c r="P246" s="22" t="str">
        <f t="shared" si="25"/>
        <v>Repeat</v>
      </c>
      <c r="Q246" s="22" t="str">
        <f t="shared" si="26"/>
        <v>TAB-1225-37202</v>
      </c>
      <c r="R246" s="22" t="str">
        <f t="shared" si="27"/>
        <v>NG</v>
      </c>
      <c r="S246" s="29">
        <f>IF(AND(OR(FILTER_Demo!$B$3="All",G246=FILTER_Demo!$B$3),OR(FILTER_Demo!$B$4="All",C246=FILTER_Demo!$B$4),F246&gt;=FILTER_Demo!$B$5),1,0)</f>
        <v>1</v>
      </c>
      <c r="T246" s="29">
        <f>IF(S246=1,SUM($S$2:S246),"")</f>
        <v>21</v>
      </c>
    </row>
    <row r="247" spans="1:20" x14ac:dyDescent="0.3">
      <c r="A247" s="22" t="s">
        <v>491</v>
      </c>
      <c r="B247" s="27">
        <v>46014</v>
      </c>
      <c r="C247" s="22" t="s">
        <v>41</v>
      </c>
      <c r="D247" s="22">
        <v>1</v>
      </c>
      <c r="E247" s="23">
        <v>9412</v>
      </c>
      <c r="F247" s="23">
        <v>9412</v>
      </c>
      <c r="G247" s="22" t="s">
        <v>55</v>
      </c>
      <c r="H247" s="28">
        <v>1666.38</v>
      </c>
      <c r="I247" s="22" t="s">
        <v>123</v>
      </c>
      <c r="J247" s="22" t="s">
        <v>68</v>
      </c>
      <c r="K247" s="22" t="s">
        <v>124</v>
      </c>
      <c r="L247" s="27">
        <f t="shared" si="21"/>
        <v>46022</v>
      </c>
      <c r="M247" s="29">
        <f t="shared" ca="1" si="22"/>
        <v>10</v>
      </c>
      <c r="N247" s="23">
        <f t="shared" ca="1" si="23"/>
        <v>311</v>
      </c>
      <c r="O247" s="24">
        <f t="shared" si="24"/>
        <v>0.17704844878878029</v>
      </c>
      <c r="P247" s="22" t="str">
        <f t="shared" si="25"/>
        <v>Repeat</v>
      </c>
      <c r="Q247" s="22" t="str">
        <f t="shared" si="26"/>
        <v>PRI-1225-09412</v>
      </c>
      <c r="R247" s="22" t="str">
        <f t="shared" si="27"/>
        <v>AI</v>
      </c>
      <c r="S247" s="29">
        <f>IF(AND(OR(FILTER_Demo!$B$3="All",G247=FILTER_Demo!$B$3),OR(FILTER_Demo!$B$4="All",C247=FILTER_Demo!$B$4),F247&gt;=FILTER_Demo!$B$5),1,0)</f>
        <v>0</v>
      </c>
      <c r="T247" s="29" t="str">
        <f>IF(S247=1,SUM($S$2:S247),"")</f>
        <v/>
      </c>
    </row>
    <row r="248" spans="1:20" x14ac:dyDescent="0.3">
      <c r="A248" s="22" t="s">
        <v>492</v>
      </c>
      <c r="B248" s="27">
        <v>46014</v>
      </c>
      <c r="C248" s="22" t="s">
        <v>43</v>
      </c>
      <c r="D248" s="22">
        <v>1</v>
      </c>
      <c r="E248" s="23">
        <v>3351</v>
      </c>
      <c r="F248" s="23">
        <v>3351</v>
      </c>
      <c r="G248" s="22" t="s">
        <v>51</v>
      </c>
      <c r="H248" s="28">
        <v>948.25</v>
      </c>
      <c r="I248" s="22" t="s">
        <v>230</v>
      </c>
      <c r="J248" s="22" t="s">
        <v>67</v>
      </c>
      <c r="K248" s="22" t="s">
        <v>231</v>
      </c>
      <c r="L248" s="27">
        <f t="shared" si="21"/>
        <v>46022</v>
      </c>
      <c r="M248" s="29">
        <f t="shared" ca="1" si="22"/>
        <v>10</v>
      </c>
      <c r="N248" s="23">
        <f t="shared" ca="1" si="23"/>
        <v>311</v>
      </c>
      <c r="O248" s="24">
        <f t="shared" si="24"/>
        <v>0.28297523127424651</v>
      </c>
      <c r="P248" s="22" t="str">
        <f t="shared" si="25"/>
        <v>Repeat</v>
      </c>
      <c r="Q248" s="22" t="str">
        <f t="shared" si="26"/>
        <v>HEA-1225-03351</v>
      </c>
      <c r="R248" s="22" t="str">
        <f t="shared" si="27"/>
        <v>DB</v>
      </c>
      <c r="S248" s="29">
        <f>IF(AND(OR(FILTER_Demo!$B$3="All",G248=FILTER_Demo!$B$3),OR(FILTER_Demo!$B$4="All",C248=FILTER_Demo!$B$4),F248&gt;=FILTER_Demo!$B$5),1,0)</f>
        <v>0</v>
      </c>
      <c r="T248" s="29" t="str">
        <f>IF(S248=1,SUM($S$2:S248),"")</f>
        <v/>
      </c>
    </row>
    <row r="249" spans="1:20" x14ac:dyDescent="0.3">
      <c r="A249" s="22" t="s">
        <v>493</v>
      </c>
      <c r="B249" s="27">
        <v>46015</v>
      </c>
      <c r="C249" s="22" t="s">
        <v>39</v>
      </c>
      <c r="D249" s="22">
        <v>2</v>
      </c>
      <c r="E249" s="23">
        <v>19540</v>
      </c>
      <c r="F249" s="23">
        <v>39080</v>
      </c>
      <c r="G249" s="22" t="s">
        <v>53</v>
      </c>
      <c r="H249" s="28">
        <v>4838.5600000000004</v>
      </c>
      <c r="I249" s="22" t="s">
        <v>484</v>
      </c>
      <c r="J249" s="22" t="s">
        <v>64</v>
      </c>
      <c r="K249" s="22" t="s">
        <v>485</v>
      </c>
      <c r="L249" s="27">
        <f t="shared" si="21"/>
        <v>46022</v>
      </c>
      <c r="M249" s="29">
        <f t="shared" ca="1" si="22"/>
        <v>10</v>
      </c>
      <c r="N249" s="23">
        <f t="shared" ca="1" si="23"/>
        <v>310</v>
      </c>
      <c r="O249" s="24">
        <f t="shared" si="24"/>
        <v>0.1238116683725691</v>
      </c>
      <c r="P249" s="22" t="str">
        <f t="shared" si="25"/>
        <v>Repeat</v>
      </c>
      <c r="Q249" s="22" t="str">
        <f t="shared" si="26"/>
        <v>TAB-1225-39080</v>
      </c>
      <c r="R249" s="22" t="str">
        <f t="shared" si="27"/>
        <v>IV</v>
      </c>
      <c r="S249" s="29">
        <f>IF(AND(OR(FILTER_Demo!$B$3="All",G249=FILTER_Demo!$B$3),OR(FILTER_Demo!$B$4="All",C249=FILTER_Demo!$B$4),F249&gt;=FILTER_Demo!$B$5),1,0)</f>
        <v>1</v>
      </c>
      <c r="T249" s="29">
        <f>IF(S249=1,SUM($S$2:S249),"")</f>
        <v>22</v>
      </c>
    </row>
    <row r="250" spans="1:20" x14ac:dyDescent="0.3">
      <c r="A250" s="22" t="s">
        <v>494</v>
      </c>
      <c r="B250" s="27">
        <v>46020</v>
      </c>
      <c r="C250" s="22" t="s">
        <v>40</v>
      </c>
      <c r="D250" s="22">
        <v>1</v>
      </c>
      <c r="E250" s="23">
        <v>7777</v>
      </c>
      <c r="F250" s="23">
        <v>7777</v>
      </c>
      <c r="G250" s="22" t="s">
        <v>55</v>
      </c>
      <c r="H250" s="28">
        <v>1246.08</v>
      </c>
      <c r="I250" s="22" t="s">
        <v>151</v>
      </c>
      <c r="J250" s="22" t="s">
        <v>66</v>
      </c>
      <c r="K250" s="22" t="s">
        <v>152</v>
      </c>
      <c r="L250" s="27">
        <f t="shared" si="21"/>
        <v>46022</v>
      </c>
      <c r="M250" s="29">
        <f t="shared" ca="1" si="22"/>
        <v>10</v>
      </c>
      <c r="N250" s="23">
        <f t="shared" ca="1" si="23"/>
        <v>305</v>
      </c>
      <c r="O250" s="24">
        <f t="shared" si="24"/>
        <v>0.16022630834512022</v>
      </c>
      <c r="P250" s="22" t="str">
        <f t="shared" si="25"/>
        <v>Repeat</v>
      </c>
      <c r="Q250" s="22" t="str">
        <f t="shared" si="26"/>
        <v>SMA-1225-07777</v>
      </c>
      <c r="R250" s="22" t="str">
        <f t="shared" si="27"/>
        <v>AM</v>
      </c>
      <c r="S250" s="29">
        <f>IF(AND(OR(FILTER_Demo!$B$3="All",G250=FILTER_Demo!$B$3),OR(FILTER_Demo!$B$4="All",C250=FILTER_Demo!$B$4),F250&gt;=FILTER_Demo!$B$5),1,0)</f>
        <v>0</v>
      </c>
      <c r="T250" s="29" t="str">
        <f>IF(S250=1,SUM($S$2:S250),"")</f>
        <v/>
      </c>
    </row>
    <row r="251" spans="1:20" x14ac:dyDescent="0.3">
      <c r="A251" s="22" t="s">
        <v>495</v>
      </c>
      <c r="B251" s="27">
        <v>46021</v>
      </c>
      <c r="C251" s="22" t="s">
        <v>41</v>
      </c>
      <c r="D251" s="22">
        <v>1</v>
      </c>
      <c r="E251" s="23">
        <v>9120</v>
      </c>
      <c r="F251" s="23">
        <v>9120</v>
      </c>
      <c r="G251" s="22" t="s">
        <v>51</v>
      </c>
      <c r="H251" s="28">
        <v>1146.8399999999999</v>
      </c>
      <c r="I251" s="22" t="s">
        <v>343</v>
      </c>
      <c r="J251" s="22" t="s">
        <v>68</v>
      </c>
      <c r="K251" s="22" t="s">
        <v>344</v>
      </c>
      <c r="L251" s="27">
        <f t="shared" si="21"/>
        <v>46022</v>
      </c>
      <c r="M251" s="29">
        <f t="shared" ca="1" si="22"/>
        <v>10</v>
      </c>
      <c r="N251" s="23">
        <f t="shared" ca="1" si="23"/>
        <v>304</v>
      </c>
      <c r="O251" s="24">
        <f t="shared" si="24"/>
        <v>0.12575</v>
      </c>
      <c r="P251" s="22" t="str">
        <f t="shared" si="25"/>
        <v>Repeat</v>
      </c>
      <c r="Q251" s="22" t="str">
        <f t="shared" si="26"/>
        <v>PRI-1225-09120</v>
      </c>
      <c r="R251" s="22" t="str">
        <f t="shared" si="27"/>
        <v>PI</v>
      </c>
      <c r="S251" s="29">
        <f>IF(AND(OR(FILTER_Demo!$B$3="All",G251=FILTER_Demo!$B$3),OR(FILTER_Demo!$B$4="All",C251=FILTER_Demo!$B$4),F251&gt;=FILTER_Demo!$B$5),1,0)</f>
        <v>0</v>
      </c>
      <c r="T251" s="29" t="str">
        <f>IF(S251=1,SUM($S$2:S251),"")</f>
        <v/>
      </c>
    </row>
  </sheetData>
  <autoFilter ref="A1:T251" xr:uid="{00000000-0009-0000-0000-000002000000}"/>
  <conditionalFormatting sqref="F2:F251">
    <cfRule type="dataBar" priority="3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{BBFBBFE8-CEE3-4285-9BF0-9365F9A5C021}</x14:id>
        </ext>
      </extLst>
    </cfRule>
  </conditionalFormatting>
  <conditionalFormatting sqref="O2:O251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FBBFE8-CEE3-4285-9BF0-9365F9A5C021}">
            <x14:dataBar axisPosition="none">
              <x14:cfvo type="min"/>
              <x14:cfvo type="max"/>
              <x14:negativeFillColor rgb="FF9DC3E6"/>
            </x14:dataBar>
          </x14:cfRule>
          <xm:sqref>F2:F251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I49"/>
  <sheetViews>
    <sheetView zoomScaleNormal="100" workbookViewId="0">
      <selection sqref="A1:F1"/>
    </sheetView>
  </sheetViews>
  <sheetFormatPr defaultColWidth="8.6640625" defaultRowHeight="14.4" x14ac:dyDescent="0.3"/>
  <cols>
    <col min="1" max="1" width="18" customWidth="1"/>
    <col min="2" max="3" width="14" customWidth="1"/>
    <col min="4" max="4" width="13" customWidth="1"/>
    <col min="5" max="6" width="10" customWidth="1"/>
    <col min="8" max="8" width="26" customWidth="1"/>
    <col min="9" max="9" width="14" customWidth="1"/>
  </cols>
  <sheetData>
    <row r="1" spans="1:9" ht="30" customHeight="1" x14ac:dyDescent="0.3">
      <c r="A1" s="3" t="s">
        <v>496</v>
      </c>
      <c r="B1" s="3"/>
      <c r="C1" s="3"/>
      <c r="D1" s="3"/>
      <c r="E1" s="3"/>
      <c r="F1" s="3"/>
      <c r="H1" s="5" t="s">
        <v>497</v>
      </c>
    </row>
    <row r="2" spans="1:9" x14ac:dyDescent="0.3">
      <c r="A2" s="4" t="s">
        <v>498</v>
      </c>
      <c r="H2" s="22" t="s">
        <v>48</v>
      </c>
      <c r="I2" s="22" t="str">
        <f>IF(Dashboard!$B$3="All","*",Dashboard!$B$3)</f>
        <v>South</v>
      </c>
    </row>
    <row r="3" spans="1:9" x14ac:dyDescent="0.3">
      <c r="A3" s="5" t="s">
        <v>499</v>
      </c>
      <c r="H3" s="22" t="s">
        <v>31</v>
      </c>
      <c r="I3" s="22" t="str">
        <f>IF(Dashboard!$B$4="All","*",Dashboard!$B$4)</f>
        <v>Smartwatch</v>
      </c>
    </row>
    <row r="4" spans="1:9" x14ac:dyDescent="0.3">
      <c r="A4" s="8" t="s">
        <v>31</v>
      </c>
      <c r="B4" s="8" t="s">
        <v>12</v>
      </c>
      <c r="C4" s="8" t="s">
        <v>13</v>
      </c>
      <c r="D4" s="8" t="s">
        <v>17</v>
      </c>
      <c r="E4" s="8" t="s">
        <v>500</v>
      </c>
      <c r="H4" s="22" t="s">
        <v>501</v>
      </c>
      <c r="I4" s="27">
        <f>Dashboard!$B$5</f>
        <v>45658</v>
      </c>
    </row>
    <row r="5" spans="1:9" x14ac:dyDescent="0.3">
      <c r="A5" s="12" t="s">
        <v>35</v>
      </c>
      <c r="B5" s="13">
        <f>SUMIFS('Final Project Dataset'!$F$2:$F$251,'Final Project Dataset'!$C$2:$C$251,$A5,'Final Project Dataset'!$G$2:$G$251,$I$2,'Final Project Dataset'!$C$2:$C$251,$I$3,'Final Project Dataset'!$B$2:$B$251,"&gt;="&amp;$I$4,'Final Project Dataset'!$B$2:$B$251,"&lt;="&amp;$I$5)</f>
        <v>0</v>
      </c>
      <c r="C5" s="13">
        <f>SUMIFS('Final Project Dataset'!$H$2:$H$251,'Final Project Dataset'!$C$2:$C$251,$A5,'Final Project Dataset'!$G$2:$G$251,$I$2,'Final Project Dataset'!$C$2:$C$251,$I$3,'Final Project Dataset'!$B$2:$B$251,"&gt;="&amp;$I$4,'Final Project Dataset'!$B$2:$B$251,"&lt;="&amp;$I$5)</f>
        <v>0</v>
      </c>
      <c r="D5" s="30">
        <f>COUNTIFS('Final Project Dataset'!$C$2:$C$251,$A5,'Final Project Dataset'!$G$2:$G$251,$I$2,'Final Project Dataset'!$C$2:$C$251,$I$3,'Final Project Dataset'!$B$2:$B$251,"&gt;="&amp;$I$4,'Final Project Dataset'!$B$2:$B$251,"&lt;="&amp;$I$5)</f>
        <v>0</v>
      </c>
      <c r="E5" s="30">
        <f>SUMIFS('Final Project Dataset'!$D$2:$D$251,'Final Project Dataset'!$C$2:$C$251,$A5,'Final Project Dataset'!$G$2:$G$251,$I$2,'Final Project Dataset'!$C$2:$C$251,$I$3,'Final Project Dataset'!$B$2:$B$251,"&gt;="&amp;$I$4,'Final Project Dataset'!$B$2:$B$251,"&lt;="&amp;$I$5)</f>
        <v>0</v>
      </c>
      <c r="H5" s="22" t="s">
        <v>502</v>
      </c>
      <c r="I5" s="27">
        <f>Dashboard!$B$6</f>
        <v>46022</v>
      </c>
    </row>
    <row r="6" spans="1:9" x14ac:dyDescent="0.3">
      <c r="A6" s="12" t="s">
        <v>36</v>
      </c>
      <c r="B6" s="13">
        <f>SUMIFS('Final Project Dataset'!$F$2:$F$251,'Final Project Dataset'!$C$2:$C$251,$A6,'Final Project Dataset'!$G$2:$G$251,$I$2,'Final Project Dataset'!$C$2:$C$251,$I$3,'Final Project Dataset'!$B$2:$B$251,"&gt;="&amp;$I$4,'Final Project Dataset'!$B$2:$B$251,"&lt;="&amp;$I$5)</f>
        <v>0</v>
      </c>
      <c r="C6" s="13">
        <f>SUMIFS('Final Project Dataset'!$H$2:$H$251,'Final Project Dataset'!$C$2:$C$251,$A6,'Final Project Dataset'!$G$2:$G$251,$I$2,'Final Project Dataset'!$C$2:$C$251,$I$3,'Final Project Dataset'!$B$2:$B$251,"&gt;="&amp;$I$4,'Final Project Dataset'!$B$2:$B$251,"&lt;="&amp;$I$5)</f>
        <v>0</v>
      </c>
      <c r="D6" s="30">
        <f>COUNTIFS('Final Project Dataset'!$C$2:$C$251,$A6,'Final Project Dataset'!$G$2:$G$251,$I$2,'Final Project Dataset'!$C$2:$C$251,$I$3,'Final Project Dataset'!$B$2:$B$251,"&gt;="&amp;$I$4,'Final Project Dataset'!$B$2:$B$251,"&lt;="&amp;$I$5)</f>
        <v>0</v>
      </c>
      <c r="E6" s="30">
        <f>SUMIFS('Final Project Dataset'!$D$2:$D$251,'Final Project Dataset'!$C$2:$C$251,$A6,'Final Project Dataset'!$G$2:$G$251,$I$2,'Final Project Dataset'!$C$2:$C$251,$I$3,'Final Project Dataset'!$B$2:$B$251,"&gt;="&amp;$I$4,'Final Project Dataset'!$B$2:$B$251,"&lt;="&amp;$I$5)</f>
        <v>0</v>
      </c>
    </row>
    <row r="7" spans="1:9" x14ac:dyDescent="0.3">
      <c r="A7" s="12" t="s">
        <v>38</v>
      </c>
      <c r="B7" s="13">
        <f>SUMIFS('Final Project Dataset'!$F$2:$F$251,'Final Project Dataset'!$C$2:$C$251,$A7,'Final Project Dataset'!$G$2:$G$251,$I$2,'Final Project Dataset'!$C$2:$C$251,$I$3,'Final Project Dataset'!$B$2:$B$251,"&gt;="&amp;$I$4,'Final Project Dataset'!$B$2:$B$251,"&lt;="&amp;$I$5)</f>
        <v>0</v>
      </c>
      <c r="C7" s="13">
        <f>SUMIFS('Final Project Dataset'!$H$2:$H$251,'Final Project Dataset'!$C$2:$C$251,$A7,'Final Project Dataset'!$G$2:$G$251,$I$2,'Final Project Dataset'!$C$2:$C$251,$I$3,'Final Project Dataset'!$B$2:$B$251,"&gt;="&amp;$I$4,'Final Project Dataset'!$B$2:$B$251,"&lt;="&amp;$I$5)</f>
        <v>0</v>
      </c>
      <c r="D7" s="30">
        <f>COUNTIFS('Final Project Dataset'!$C$2:$C$251,$A7,'Final Project Dataset'!$G$2:$G$251,$I$2,'Final Project Dataset'!$C$2:$C$251,$I$3,'Final Project Dataset'!$B$2:$B$251,"&gt;="&amp;$I$4,'Final Project Dataset'!$B$2:$B$251,"&lt;="&amp;$I$5)</f>
        <v>0</v>
      </c>
      <c r="E7" s="30">
        <f>SUMIFS('Final Project Dataset'!$D$2:$D$251,'Final Project Dataset'!$C$2:$C$251,$A7,'Final Project Dataset'!$G$2:$G$251,$I$2,'Final Project Dataset'!$C$2:$C$251,$I$3,'Final Project Dataset'!$B$2:$B$251,"&gt;="&amp;$I$4,'Final Project Dataset'!$B$2:$B$251,"&lt;="&amp;$I$5)</f>
        <v>0</v>
      </c>
    </row>
    <row r="8" spans="1:9" x14ac:dyDescent="0.3">
      <c r="A8" s="12" t="s">
        <v>39</v>
      </c>
      <c r="B8" s="13">
        <f>SUMIFS('Final Project Dataset'!$F$2:$F$251,'Final Project Dataset'!$C$2:$C$251,$A8,'Final Project Dataset'!$G$2:$G$251,$I$2,'Final Project Dataset'!$C$2:$C$251,$I$3,'Final Project Dataset'!$B$2:$B$251,"&gt;="&amp;$I$4,'Final Project Dataset'!$B$2:$B$251,"&lt;="&amp;$I$5)</f>
        <v>0</v>
      </c>
      <c r="C8" s="13">
        <f>SUMIFS('Final Project Dataset'!$H$2:$H$251,'Final Project Dataset'!$C$2:$C$251,$A8,'Final Project Dataset'!$G$2:$G$251,$I$2,'Final Project Dataset'!$C$2:$C$251,$I$3,'Final Project Dataset'!$B$2:$B$251,"&gt;="&amp;$I$4,'Final Project Dataset'!$B$2:$B$251,"&lt;="&amp;$I$5)</f>
        <v>0</v>
      </c>
      <c r="D8" s="30">
        <f>COUNTIFS('Final Project Dataset'!$C$2:$C$251,$A8,'Final Project Dataset'!$G$2:$G$251,$I$2,'Final Project Dataset'!$C$2:$C$251,$I$3,'Final Project Dataset'!$B$2:$B$251,"&gt;="&amp;$I$4,'Final Project Dataset'!$B$2:$B$251,"&lt;="&amp;$I$5)</f>
        <v>0</v>
      </c>
      <c r="E8" s="30">
        <f>SUMIFS('Final Project Dataset'!$D$2:$D$251,'Final Project Dataset'!$C$2:$C$251,$A8,'Final Project Dataset'!$G$2:$G$251,$I$2,'Final Project Dataset'!$C$2:$C$251,$I$3,'Final Project Dataset'!$B$2:$B$251,"&gt;="&amp;$I$4,'Final Project Dataset'!$B$2:$B$251,"&lt;="&amp;$I$5)</f>
        <v>0</v>
      </c>
    </row>
    <row r="9" spans="1:9" x14ac:dyDescent="0.3">
      <c r="A9" s="12" t="s">
        <v>40</v>
      </c>
      <c r="B9" s="13">
        <f>SUMIFS('Final Project Dataset'!$F$2:$F$251,'Final Project Dataset'!$C$2:$C$251,$A9,'Final Project Dataset'!$G$2:$G$251,$I$2,'Final Project Dataset'!$C$2:$C$251,$I$3,'Final Project Dataset'!$B$2:$B$251,"&gt;="&amp;$I$4,'Final Project Dataset'!$B$2:$B$251,"&lt;="&amp;$I$5)</f>
        <v>89673</v>
      </c>
      <c r="C9" s="13">
        <f>SUMIFS('Final Project Dataset'!$H$2:$H$251,'Final Project Dataset'!$C$2:$C$251,$A9,'Final Project Dataset'!$G$2:$G$251,$I$2,'Final Project Dataset'!$C$2:$C$251,$I$3,'Final Project Dataset'!$B$2:$B$251,"&gt;="&amp;$I$4,'Final Project Dataset'!$B$2:$B$251,"&lt;="&amp;$I$5)</f>
        <v>15915.68</v>
      </c>
      <c r="D9" s="30">
        <f>COUNTIFS('Final Project Dataset'!$C$2:$C$251,$A9,'Final Project Dataset'!$G$2:$G$251,$I$2,'Final Project Dataset'!$C$2:$C$251,$I$3,'Final Project Dataset'!$B$2:$B$251,"&gt;="&amp;$I$4,'Final Project Dataset'!$B$2:$B$251,"&lt;="&amp;$I$5)</f>
        <v>3</v>
      </c>
      <c r="E9" s="30">
        <f>SUMIFS('Final Project Dataset'!$D$2:$D$251,'Final Project Dataset'!$C$2:$C$251,$A9,'Final Project Dataset'!$G$2:$G$251,$I$2,'Final Project Dataset'!$C$2:$C$251,$I$3,'Final Project Dataset'!$B$2:$B$251,"&gt;="&amp;$I$4,'Final Project Dataset'!$B$2:$B$251,"&lt;="&amp;$I$5)</f>
        <v>11</v>
      </c>
    </row>
    <row r="10" spans="1:9" x14ac:dyDescent="0.3">
      <c r="A10" s="12" t="s">
        <v>41</v>
      </c>
      <c r="B10" s="13">
        <f>SUMIFS('Final Project Dataset'!$F$2:$F$251,'Final Project Dataset'!$C$2:$C$251,$A10,'Final Project Dataset'!$G$2:$G$251,$I$2,'Final Project Dataset'!$C$2:$C$251,$I$3,'Final Project Dataset'!$B$2:$B$251,"&gt;="&amp;$I$4,'Final Project Dataset'!$B$2:$B$251,"&lt;="&amp;$I$5)</f>
        <v>0</v>
      </c>
      <c r="C10" s="13">
        <f>SUMIFS('Final Project Dataset'!$H$2:$H$251,'Final Project Dataset'!$C$2:$C$251,$A10,'Final Project Dataset'!$G$2:$G$251,$I$2,'Final Project Dataset'!$C$2:$C$251,$I$3,'Final Project Dataset'!$B$2:$B$251,"&gt;="&amp;$I$4,'Final Project Dataset'!$B$2:$B$251,"&lt;="&amp;$I$5)</f>
        <v>0</v>
      </c>
      <c r="D10" s="30">
        <f>COUNTIFS('Final Project Dataset'!$C$2:$C$251,$A10,'Final Project Dataset'!$G$2:$G$251,$I$2,'Final Project Dataset'!$C$2:$C$251,$I$3,'Final Project Dataset'!$B$2:$B$251,"&gt;="&amp;$I$4,'Final Project Dataset'!$B$2:$B$251,"&lt;="&amp;$I$5)</f>
        <v>0</v>
      </c>
      <c r="E10" s="30">
        <f>SUMIFS('Final Project Dataset'!$D$2:$D$251,'Final Project Dataset'!$C$2:$C$251,$A10,'Final Project Dataset'!$G$2:$G$251,$I$2,'Final Project Dataset'!$C$2:$C$251,$I$3,'Final Project Dataset'!$B$2:$B$251,"&gt;="&amp;$I$4,'Final Project Dataset'!$B$2:$B$251,"&lt;="&amp;$I$5)</f>
        <v>0</v>
      </c>
    </row>
    <row r="11" spans="1:9" x14ac:dyDescent="0.3">
      <c r="A11" s="12" t="s">
        <v>43</v>
      </c>
      <c r="B11" s="13">
        <f>SUMIFS('Final Project Dataset'!$F$2:$F$251,'Final Project Dataset'!$C$2:$C$251,$A11,'Final Project Dataset'!$G$2:$G$251,$I$2,'Final Project Dataset'!$C$2:$C$251,$I$3,'Final Project Dataset'!$B$2:$B$251,"&gt;="&amp;$I$4,'Final Project Dataset'!$B$2:$B$251,"&lt;="&amp;$I$5)</f>
        <v>0</v>
      </c>
      <c r="C11" s="13">
        <f>SUMIFS('Final Project Dataset'!$H$2:$H$251,'Final Project Dataset'!$C$2:$C$251,$A11,'Final Project Dataset'!$G$2:$G$251,$I$2,'Final Project Dataset'!$C$2:$C$251,$I$3,'Final Project Dataset'!$B$2:$B$251,"&gt;="&amp;$I$4,'Final Project Dataset'!$B$2:$B$251,"&lt;="&amp;$I$5)</f>
        <v>0</v>
      </c>
      <c r="D11" s="30">
        <f>COUNTIFS('Final Project Dataset'!$C$2:$C$251,$A11,'Final Project Dataset'!$G$2:$G$251,$I$2,'Final Project Dataset'!$C$2:$C$251,$I$3,'Final Project Dataset'!$B$2:$B$251,"&gt;="&amp;$I$4,'Final Project Dataset'!$B$2:$B$251,"&lt;="&amp;$I$5)</f>
        <v>0</v>
      </c>
      <c r="E11" s="30">
        <f>SUMIFS('Final Project Dataset'!$D$2:$D$251,'Final Project Dataset'!$C$2:$C$251,$A11,'Final Project Dataset'!$G$2:$G$251,$I$2,'Final Project Dataset'!$C$2:$C$251,$I$3,'Final Project Dataset'!$B$2:$B$251,"&gt;="&amp;$I$4,'Final Project Dataset'!$B$2:$B$251,"&lt;="&amp;$I$5)</f>
        <v>0</v>
      </c>
    </row>
    <row r="12" spans="1:9" x14ac:dyDescent="0.3">
      <c r="A12" s="12" t="s">
        <v>44</v>
      </c>
      <c r="B12" s="13">
        <f>SUMIFS('Final Project Dataset'!$F$2:$F$251,'Final Project Dataset'!$C$2:$C$251,$A12,'Final Project Dataset'!$G$2:$G$251,$I$2,'Final Project Dataset'!$C$2:$C$251,$I$3,'Final Project Dataset'!$B$2:$B$251,"&gt;="&amp;$I$4,'Final Project Dataset'!$B$2:$B$251,"&lt;="&amp;$I$5)</f>
        <v>0</v>
      </c>
      <c r="C12" s="13">
        <f>SUMIFS('Final Project Dataset'!$H$2:$H$251,'Final Project Dataset'!$C$2:$C$251,$A12,'Final Project Dataset'!$G$2:$G$251,$I$2,'Final Project Dataset'!$C$2:$C$251,$I$3,'Final Project Dataset'!$B$2:$B$251,"&gt;="&amp;$I$4,'Final Project Dataset'!$B$2:$B$251,"&lt;="&amp;$I$5)</f>
        <v>0</v>
      </c>
      <c r="D12" s="30">
        <f>COUNTIFS('Final Project Dataset'!$C$2:$C$251,$A12,'Final Project Dataset'!$G$2:$G$251,$I$2,'Final Project Dataset'!$C$2:$C$251,$I$3,'Final Project Dataset'!$B$2:$B$251,"&gt;="&amp;$I$4,'Final Project Dataset'!$B$2:$B$251,"&lt;="&amp;$I$5)</f>
        <v>0</v>
      </c>
      <c r="E12" s="30">
        <f>SUMIFS('Final Project Dataset'!$D$2:$D$251,'Final Project Dataset'!$C$2:$C$251,$A12,'Final Project Dataset'!$G$2:$G$251,$I$2,'Final Project Dataset'!$C$2:$C$251,$I$3,'Final Project Dataset'!$B$2:$B$251,"&gt;="&amp;$I$4,'Final Project Dataset'!$B$2:$B$251,"&lt;="&amp;$I$5)</f>
        <v>0</v>
      </c>
    </row>
    <row r="13" spans="1:9" x14ac:dyDescent="0.3">
      <c r="A13" s="12" t="s">
        <v>45</v>
      </c>
      <c r="B13" s="13">
        <f>SUMIFS('Final Project Dataset'!$F$2:$F$251,'Final Project Dataset'!$C$2:$C$251,$A13,'Final Project Dataset'!$G$2:$G$251,$I$2,'Final Project Dataset'!$C$2:$C$251,$I$3,'Final Project Dataset'!$B$2:$B$251,"&gt;="&amp;$I$4,'Final Project Dataset'!$B$2:$B$251,"&lt;="&amp;$I$5)</f>
        <v>0</v>
      </c>
      <c r="C13" s="13">
        <f>SUMIFS('Final Project Dataset'!$H$2:$H$251,'Final Project Dataset'!$C$2:$C$251,$A13,'Final Project Dataset'!$G$2:$G$251,$I$2,'Final Project Dataset'!$C$2:$C$251,$I$3,'Final Project Dataset'!$B$2:$B$251,"&gt;="&amp;$I$4,'Final Project Dataset'!$B$2:$B$251,"&lt;="&amp;$I$5)</f>
        <v>0</v>
      </c>
      <c r="D13" s="30">
        <f>COUNTIFS('Final Project Dataset'!$C$2:$C$251,$A13,'Final Project Dataset'!$G$2:$G$251,$I$2,'Final Project Dataset'!$C$2:$C$251,$I$3,'Final Project Dataset'!$B$2:$B$251,"&gt;="&amp;$I$4,'Final Project Dataset'!$B$2:$B$251,"&lt;="&amp;$I$5)</f>
        <v>0</v>
      </c>
      <c r="E13" s="30">
        <f>SUMIFS('Final Project Dataset'!$D$2:$D$251,'Final Project Dataset'!$C$2:$C$251,$A13,'Final Project Dataset'!$G$2:$G$251,$I$2,'Final Project Dataset'!$C$2:$C$251,$I$3,'Final Project Dataset'!$B$2:$B$251,"&gt;="&amp;$I$4,'Final Project Dataset'!$B$2:$B$251,"&lt;="&amp;$I$5)</f>
        <v>0</v>
      </c>
    </row>
    <row r="14" spans="1:9" x14ac:dyDescent="0.3">
      <c r="A14" s="12" t="s">
        <v>46</v>
      </c>
      <c r="B14" s="13">
        <f>SUMIFS('Final Project Dataset'!$F$2:$F$251,'Final Project Dataset'!$C$2:$C$251,$A14,'Final Project Dataset'!$G$2:$G$251,$I$2,'Final Project Dataset'!$C$2:$C$251,$I$3,'Final Project Dataset'!$B$2:$B$251,"&gt;="&amp;$I$4,'Final Project Dataset'!$B$2:$B$251,"&lt;="&amp;$I$5)</f>
        <v>0</v>
      </c>
      <c r="C14" s="13">
        <f>SUMIFS('Final Project Dataset'!$H$2:$H$251,'Final Project Dataset'!$C$2:$C$251,$A14,'Final Project Dataset'!$G$2:$G$251,$I$2,'Final Project Dataset'!$C$2:$C$251,$I$3,'Final Project Dataset'!$B$2:$B$251,"&gt;="&amp;$I$4,'Final Project Dataset'!$B$2:$B$251,"&lt;="&amp;$I$5)</f>
        <v>0</v>
      </c>
      <c r="D14" s="30">
        <f>COUNTIFS('Final Project Dataset'!$C$2:$C$251,$A14,'Final Project Dataset'!$G$2:$G$251,$I$2,'Final Project Dataset'!$C$2:$C$251,$I$3,'Final Project Dataset'!$B$2:$B$251,"&gt;="&amp;$I$4,'Final Project Dataset'!$B$2:$B$251,"&lt;="&amp;$I$5)</f>
        <v>0</v>
      </c>
      <c r="E14" s="30">
        <f>SUMIFS('Final Project Dataset'!$D$2:$D$251,'Final Project Dataset'!$C$2:$C$251,$A14,'Final Project Dataset'!$G$2:$G$251,$I$2,'Final Project Dataset'!$C$2:$C$251,$I$3,'Final Project Dataset'!$B$2:$B$251,"&gt;="&amp;$I$4,'Final Project Dataset'!$B$2:$B$251,"&lt;="&amp;$I$5)</f>
        <v>0</v>
      </c>
    </row>
    <row r="15" spans="1:9" x14ac:dyDescent="0.3">
      <c r="A15" s="31" t="s">
        <v>503</v>
      </c>
      <c r="B15" s="32">
        <f>SUM(B5:B14)</f>
        <v>89673</v>
      </c>
      <c r="C15" s="32">
        <f>SUM(C5:C14)</f>
        <v>15915.68</v>
      </c>
      <c r="D15" s="33">
        <f>SUM(D5:D14)</f>
        <v>3</v>
      </c>
      <c r="E15" s="33">
        <f>SUM(E5:E14)</f>
        <v>11</v>
      </c>
    </row>
    <row r="17" spans="1:5" x14ac:dyDescent="0.3">
      <c r="A17" s="5" t="s">
        <v>504</v>
      </c>
    </row>
    <row r="18" spans="1:5" x14ac:dyDescent="0.3">
      <c r="A18" s="8" t="s">
        <v>48</v>
      </c>
      <c r="B18" s="8" t="s">
        <v>12</v>
      </c>
      <c r="C18" s="8" t="s">
        <v>13</v>
      </c>
      <c r="D18" s="8" t="s">
        <v>17</v>
      </c>
      <c r="E18" s="8" t="s">
        <v>500</v>
      </c>
    </row>
    <row r="19" spans="1:5" x14ac:dyDescent="0.3">
      <c r="A19" s="12" t="s">
        <v>49</v>
      </c>
      <c r="B19" s="13">
        <f>SUMIFS('Final Project Dataset'!$F$2:$F$251,'Final Project Dataset'!$G$2:$G$251,$A19,'Final Project Dataset'!$G$2:$G$251,$I$2,'Final Project Dataset'!$C$2:$C$251,$I$3,'Final Project Dataset'!$B$2:$B$251,"&gt;="&amp;$I$4,'Final Project Dataset'!$B$2:$B$251,"&lt;="&amp;$I$5)</f>
        <v>0</v>
      </c>
      <c r="C19" s="13">
        <f>SUMIFS('Final Project Dataset'!$H$2:$H$251,'Final Project Dataset'!$G$2:$G$251,$A19,'Final Project Dataset'!$G$2:$G$251,$I$2,'Final Project Dataset'!$C$2:$C$251,$I$3,'Final Project Dataset'!$B$2:$B$251,"&gt;="&amp;$I$4,'Final Project Dataset'!$B$2:$B$251,"&lt;="&amp;$I$5)</f>
        <v>0</v>
      </c>
      <c r="D19" s="30">
        <f>COUNTIFS('Final Project Dataset'!$G$2:$G$251,$A19,'Final Project Dataset'!$G$2:$G$251,$I$2,'Final Project Dataset'!$C$2:$C$251,$I$3,'Final Project Dataset'!$B$2:$B$251,"&gt;="&amp;$I$4,'Final Project Dataset'!$B$2:$B$251,"&lt;="&amp;$I$5)</f>
        <v>0</v>
      </c>
      <c r="E19" s="30">
        <f>SUMIFS('Final Project Dataset'!$D$2:$D$251,'Final Project Dataset'!$G$2:$G$251,$A19,'Final Project Dataset'!$G$2:$G$251,$I$2,'Final Project Dataset'!$C$2:$C$251,$I$3,'Final Project Dataset'!$B$2:$B$251,"&gt;="&amp;$I$4,'Final Project Dataset'!$B$2:$B$251,"&lt;="&amp;$I$5)</f>
        <v>0</v>
      </c>
    </row>
    <row r="20" spans="1:5" x14ac:dyDescent="0.3">
      <c r="A20" s="12" t="s">
        <v>51</v>
      </c>
      <c r="B20" s="13">
        <f>SUMIFS('Final Project Dataset'!$F$2:$F$251,'Final Project Dataset'!$G$2:$G$251,$A20,'Final Project Dataset'!$G$2:$G$251,$I$2,'Final Project Dataset'!$C$2:$C$251,$I$3,'Final Project Dataset'!$B$2:$B$251,"&gt;="&amp;$I$4,'Final Project Dataset'!$B$2:$B$251,"&lt;="&amp;$I$5)</f>
        <v>89673</v>
      </c>
      <c r="C20" s="13">
        <f>SUMIFS('Final Project Dataset'!$H$2:$H$251,'Final Project Dataset'!$G$2:$G$251,$A20,'Final Project Dataset'!$G$2:$G$251,$I$2,'Final Project Dataset'!$C$2:$C$251,$I$3,'Final Project Dataset'!$B$2:$B$251,"&gt;="&amp;$I$4,'Final Project Dataset'!$B$2:$B$251,"&lt;="&amp;$I$5)</f>
        <v>15915.68</v>
      </c>
      <c r="D20" s="30">
        <f>COUNTIFS('Final Project Dataset'!$G$2:$G$251,$A20,'Final Project Dataset'!$G$2:$G$251,$I$2,'Final Project Dataset'!$C$2:$C$251,$I$3,'Final Project Dataset'!$B$2:$B$251,"&gt;="&amp;$I$4,'Final Project Dataset'!$B$2:$B$251,"&lt;="&amp;$I$5)</f>
        <v>3</v>
      </c>
      <c r="E20" s="30">
        <f>SUMIFS('Final Project Dataset'!$D$2:$D$251,'Final Project Dataset'!$G$2:$G$251,$A20,'Final Project Dataset'!$G$2:$G$251,$I$2,'Final Project Dataset'!$C$2:$C$251,$I$3,'Final Project Dataset'!$B$2:$B$251,"&gt;="&amp;$I$4,'Final Project Dataset'!$B$2:$B$251,"&lt;="&amp;$I$5)</f>
        <v>11</v>
      </c>
    </row>
    <row r="21" spans="1:5" x14ac:dyDescent="0.3">
      <c r="A21" s="12" t="s">
        <v>52</v>
      </c>
      <c r="B21" s="13">
        <f>SUMIFS('Final Project Dataset'!$F$2:$F$251,'Final Project Dataset'!$G$2:$G$251,$A21,'Final Project Dataset'!$G$2:$G$251,$I$2,'Final Project Dataset'!$C$2:$C$251,$I$3,'Final Project Dataset'!$B$2:$B$251,"&gt;="&amp;$I$4,'Final Project Dataset'!$B$2:$B$251,"&lt;="&amp;$I$5)</f>
        <v>0</v>
      </c>
      <c r="C21" s="13">
        <f>SUMIFS('Final Project Dataset'!$H$2:$H$251,'Final Project Dataset'!$G$2:$G$251,$A21,'Final Project Dataset'!$G$2:$G$251,$I$2,'Final Project Dataset'!$C$2:$C$251,$I$3,'Final Project Dataset'!$B$2:$B$251,"&gt;="&amp;$I$4,'Final Project Dataset'!$B$2:$B$251,"&lt;="&amp;$I$5)</f>
        <v>0</v>
      </c>
      <c r="D21" s="30">
        <f>COUNTIFS('Final Project Dataset'!$G$2:$G$251,$A21,'Final Project Dataset'!$G$2:$G$251,$I$2,'Final Project Dataset'!$C$2:$C$251,$I$3,'Final Project Dataset'!$B$2:$B$251,"&gt;="&amp;$I$4,'Final Project Dataset'!$B$2:$B$251,"&lt;="&amp;$I$5)</f>
        <v>0</v>
      </c>
      <c r="E21" s="30">
        <f>SUMIFS('Final Project Dataset'!$D$2:$D$251,'Final Project Dataset'!$G$2:$G$251,$A21,'Final Project Dataset'!$G$2:$G$251,$I$2,'Final Project Dataset'!$C$2:$C$251,$I$3,'Final Project Dataset'!$B$2:$B$251,"&gt;="&amp;$I$4,'Final Project Dataset'!$B$2:$B$251,"&lt;="&amp;$I$5)</f>
        <v>0</v>
      </c>
    </row>
    <row r="22" spans="1:5" x14ac:dyDescent="0.3">
      <c r="A22" s="12" t="s">
        <v>53</v>
      </c>
      <c r="B22" s="13">
        <f>SUMIFS('Final Project Dataset'!$F$2:$F$251,'Final Project Dataset'!$G$2:$G$251,$A22,'Final Project Dataset'!$G$2:$G$251,$I$2,'Final Project Dataset'!$C$2:$C$251,$I$3,'Final Project Dataset'!$B$2:$B$251,"&gt;="&amp;$I$4,'Final Project Dataset'!$B$2:$B$251,"&lt;="&amp;$I$5)</f>
        <v>0</v>
      </c>
      <c r="C22" s="13">
        <f>SUMIFS('Final Project Dataset'!$H$2:$H$251,'Final Project Dataset'!$G$2:$G$251,$A22,'Final Project Dataset'!$G$2:$G$251,$I$2,'Final Project Dataset'!$C$2:$C$251,$I$3,'Final Project Dataset'!$B$2:$B$251,"&gt;="&amp;$I$4,'Final Project Dataset'!$B$2:$B$251,"&lt;="&amp;$I$5)</f>
        <v>0</v>
      </c>
      <c r="D22" s="30">
        <f>COUNTIFS('Final Project Dataset'!$G$2:$G$251,$A22,'Final Project Dataset'!$G$2:$G$251,$I$2,'Final Project Dataset'!$C$2:$C$251,$I$3,'Final Project Dataset'!$B$2:$B$251,"&gt;="&amp;$I$4,'Final Project Dataset'!$B$2:$B$251,"&lt;="&amp;$I$5)</f>
        <v>0</v>
      </c>
      <c r="E22" s="30">
        <f>SUMIFS('Final Project Dataset'!$D$2:$D$251,'Final Project Dataset'!$G$2:$G$251,$A22,'Final Project Dataset'!$G$2:$G$251,$I$2,'Final Project Dataset'!$C$2:$C$251,$I$3,'Final Project Dataset'!$B$2:$B$251,"&gt;="&amp;$I$4,'Final Project Dataset'!$B$2:$B$251,"&lt;="&amp;$I$5)</f>
        <v>0</v>
      </c>
    </row>
    <row r="23" spans="1:5" x14ac:dyDescent="0.3">
      <c r="A23" s="12" t="s">
        <v>55</v>
      </c>
      <c r="B23" s="13">
        <f>SUMIFS('Final Project Dataset'!$F$2:$F$251,'Final Project Dataset'!$G$2:$G$251,$A23,'Final Project Dataset'!$G$2:$G$251,$I$2,'Final Project Dataset'!$C$2:$C$251,$I$3,'Final Project Dataset'!$B$2:$B$251,"&gt;="&amp;$I$4,'Final Project Dataset'!$B$2:$B$251,"&lt;="&amp;$I$5)</f>
        <v>0</v>
      </c>
      <c r="C23" s="13">
        <f>SUMIFS('Final Project Dataset'!$H$2:$H$251,'Final Project Dataset'!$G$2:$G$251,$A23,'Final Project Dataset'!$G$2:$G$251,$I$2,'Final Project Dataset'!$C$2:$C$251,$I$3,'Final Project Dataset'!$B$2:$B$251,"&gt;="&amp;$I$4,'Final Project Dataset'!$B$2:$B$251,"&lt;="&amp;$I$5)</f>
        <v>0</v>
      </c>
      <c r="D23" s="30">
        <f>COUNTIFS('Final Project Dataset'!$G$2:$G$251,$A23,'Final Project Dataset'!$G$2:$G$251,$I$2,'Final Project Dataset'!$C$2:$C$251,$I$3,'Final Project Dataset'!$B$2:$B$251,"&gt;="&amp;$I$4,'Final Project Dataset'!$B$2:$B$251,"&lt;="&amp;$I$5)</f>
        <v>0</v>
      </c>
      <c r="E23" s="30">
        <f>SUMIFS('Final Project Dataset'!$D$2:$D$251,'Final Project Dataset'!$G$2:$G$251,$A23,'Final Project Dataset'!$G$2:$G$251,$I$2,'Final Project Dataset'!$C$2:$C$251,$I$3,'Final Project Dataset'!$B$2:$B$251,"&gt;="&amp;$I$4,'Final Project Dataset'!$B$2:$B$251,"&lt;="&amp;$I$5)</f>
        <v>0</v>
      </c>
    </row>
    <row r="24" spans="1:5" x14ac:dyDescent="0.3">
      <c r="A24" s="31" t="s">
        <v>503</v>
      </c>
      <c r="B24" s="32">
        <f>SUM(B19:B23)</f>
        <v>89673</v>
      </c>
      <c r="C24" s="32">
        <f>SUM(C19:C23)</f>
        <v>15915.68</v>
      </c>
      <c r="D24" s="33">
        <f>SUM(D19:D23)</f>
        <v>3</v>
      </c>
      <c r="E24" s="33">
        <f>SUM(E19:E23)</f>
        <v>11</v>
      </c>
    </row>
    <row r="26" spans="1:5" x14ac:dyDescent="0.3">
      <c r="A26" s="5" t="s">
        <v>505</v>
      </c>
    </row>
    <row r="27" spans="1:5" x14ac:dyDescent="0.3">
      <c r="A27" s="8" t="s">
        <v>506</v>
      </c>
      <c r="B27" s="8" t="s">
        <v>12</v>
      </c>
      <c r="C27" s="8" t="s">
        <v>13</v>
      </c>
      <c r="D27" s="8" t="s">
        <v>17</v>
      </c>
      <c r="E27" s="8" t="s">
        <v>500</v>
      </c>
    </row>
    <row r="28" spans="1:5" x14ac:dyDescent="0.3">
      <c r="A28" s="12" t="s">
        <v>64</v>
      </c>
      <c r="B28" s="13">
        <f>SUMIFS('Final Project Dataset'!$F$2:$F$251,'Final Project Dataset'!$J$2:$J$251,$A28,'Final Project Dataset'!$G$2:$G$251,$I$2,'Final Project Dataset'!$C$2:$C$251,$I$3,'Final Project Dataset'!$B$2:$B$251,"&gt;="&amp;$I$4,'Final Project Dataset'!$B$2:$B$251,"&lt;="&amp;$I$5)</f>
        <v>31036</v>
      </c>
      <c r="C28" s="13">
        <f>SUMIFS('Final Project Dataset'!$H$2:$H$251,'Final Project Dataset'!$J$2:$J$251,$A28,'Final Project Dataset'!$G$2:$G$251,$I$2,'Final Project Dataset'!$C$2:$C$251,$I$3,'Final Project Dataset'!$B$2:$B$251,"&gt;="&amp;$I$4,'Final Project Dataset'!$B$2:$B$251,"&lt;="&amp;$I$5)</f>
        <v>6292.17</v>
      </c>
      <c r="D28" s="30">
        <f>COUNTIFS('Final Project Dataset'!$J$2:$J$251,$A28,'Final Project Dataset'!$G$2:$G$251,$I$2,'Final Project Dataset'!$C$2:$C$251,$I$3,'Final Project Dataset'!$B$2:$B$251,"&gt;="&amp;$I$4,'Final Project Dataset'!$B$2:$B$251,"&lt;="&amp;$I$5)</f>
        <v>1</v>
      </c>
      <c r="E28" s="30">
        <f>SUMIFS('Final Project Dataset'!$D$2:$D$251,'Final Project Dataset'!$J$2:$J$251,$A28,'Final Project Dataset'!$G$2:$G$251,$I$2,'Final Project Dataset'!$C$2:$C$251,$I$3,'Final Project Dataset'!$B$2:$B$251,"&gt;="&amp;$I$4,'Final Project Dataset'!$B$2:$B$251,"&lt;="&amp;$I$5)</f>
        <v>4</v>
      </c>
    </row>
    <row r="29" spans="1:5" x14ac:dyDescent="0.3">
      <c r="A29" s="12" t="s">
        <v>65</v>
      </c>
      <c r="B29" s="13">
        <f>SUMIFS('Final Project Dataset'!$F$2:$F$251,'Final Project Dataset'!$J$2:$J$251,$A29,'Final Project Dataset'!$G$2:$G$251,$I$2,'Final Project Dataset'!$C$2:$C$251,$I$3,'Final Project Dataset'!$B$2:$B$251,"&gt;="&amp;$I$4,'Final Project Dataset'!$B$2:$B$251,"&lt;="&amp;$I$5)</f>
        <v>0</v>
      </c>
      <c r="C29" s="13">
        <f>SUMIFS('Final Project Dataset'!$H$2:$H$251,'Final Project Dataset'!$J$2:$J$251,$A29,'Final Project Dataset'!$G$2:$G$251,$I$2,'Final Project Dataset'!$C$2:$C$251,$I$3,'Final Project Dataset'!$B$2:$B$251,"&gt;="&amp;$I$4,'Final Project Dataset'!$B$2:$B$251,"&lt;="&amp;$I$5)</f>
        <v>0</v>
      </c>
      <c r="D29" s="30">
        <f>COUNTIFS('Final Project Dataset'!$J$2:$J$251,$A29,'Final Project Dataset'!$G$2:$G$251,$I$2,'Final Project Dataset'!$C$2:$C$251,$I$3,'Final Project Dataset'!$B$2:$B$251,"&gt;="&amp;$I$4,'Final Project Dataset'!$B$2:$B$251,"&lt;="&amp;$I$5)</f>
        <v>0</v>
      </c>
      <c r="E29" s="30">
        <f>SUMIFS('Final Project Dataset'!$D$2:$D$251,'Final Project Dataset'!$J$2:$J$251,$A29,'Final Project Dataset'!$G$2:$G$251,$I$2,'Final Project Dataset'!$C$2:$C$251,$I$3,'Final Project Dataset'!$B$2:$B$251,"&gt;="&amp;$I$4,'Final Project Dataset'!$B$2:$B$251,"&lt;="&amp;$I$5)</f>
        <v>0</v>
      </c>
    </row>
    <row r="30" spans="1:5" x14ac:dyDescent="0.3">
      <c r="A30" s="12" t="s">
        <v>66</v>
      </c>
      <c r="B30" s="13">
        <f>SUMIFS('Final Project Dataset'!$F$2:$F$251,'Final Project Dataset'!$J$2:$J$251,$A30,'Final Project Dataset'!$G$2:$G$251,$I$2,'Final Project Dataset'!$C$2:$C$251,$I$3,'Final Project Dataset'!$B$2:$B$251,"&gt;="&amp;$I$4,'Final Project Dataset'!$B$2:$B$251,"&lt;="&amp;$I$5)</f>
        <v>43305</v>
      </c>
      <c r="C30" s="13">
        <f>SUMIFS('Final Project Dataset'!$H$2:$H$251,'Final Project Dataset'!$J$2:$J$251,$A30,'Final Project Dataset'!$G$2:$G$251,$I$2,'Final Project Dataset'!$C$2:$C$251,$I$3,'Final Project Dataset'!$B$2:$B$251,"&gt;="&amp;$I$4,'Final Project Dataset'!$B$2:$B$251,"&lt;="&amp;$I$5)</f>
        <v>7627.95</v>
      </c>
      <c r="D30" s="30">
        <f>COUNTIFS('Final Project Dataset'!$J$2:$J$251,$A30,'Final Project Dataset'!$G$2:$G$251,$I$2,'Final Project Dataset'!$C$2:$C$251,$I$3,'Final Project Dataset'!$B$2:$B$251,"&gt;="&amp;$I$4,'Final Project Dataset'!$B$2:$B$251,"&lt;="&amp;$I$5)</f>
        <v>1</v>
      </c>
      <c r="E30" s="30">
        <f>SUMIFS('Final Project Dataset'!$D$2:$D$251,'Final Project Dataset'!$J$2:$J$251,$A30,'Final Project Dataset'!$G$2:$G$251,$I$2,'Final Project Dataset'!$C$2:$C$251,$I$3,'Final Project Dataset'!$B$2:$B$251,"&gt;="&amp;$I$4,'Final Project Dataset'!$B$2:$B$251,"&lt;="&amp;$I$5)</f>
        <v>5</v>
      </c>
    </row>
    <row r="31" spans="1:5" x14ac:dyDescent="0.3">
      <c r="A31" s="12" t="s">
        <v>67</v>
      </c>
      <c r="B31" s="13">
        <f>SUMIFS('Final Project Dataset'!$F$2:$F$251,'Final Project Dataset'!$J$2:$J$251,$A31,'Final Project Dataset'!$G$2:$G$251,$I$2,'Final Project Dataset'!$C$2:$C$251,$I$3,'Final Project Dataset'!$B$2:$B$251,"&gt;="&amp;$I$4,'Final Project Dataset'!$B$2:$B$251,"&lt;="&amp;$I$5)</f>
        <v>15332</v>
      </c>
      <c r="C31" s="13">
        <f>SUMIFS('Final Project Dataset'!$H$2:$H$251,'Final Project Dataset'!$J$2:$J$251,$A31,'Final Project Dataset'!$G$2:$G$251,$I$2,'Final Project Dataset'!$C$2:$C$251,$I$3,'Final Project Dataset'!$B$2:$B$251,"&gt;="&amp;$I$4,'Final Project Dataset'!$B$2:$B$251,"&lt;="&amp;$I$5)</f>
        <v>1995.56</v>
      </c>
      <c r="D31" s="30">
        <f>COUNTIFS('Final Project Dataset'!$J$2:$J$251,$A31,'Final Project Dataset'!$G$2:$G$251,$I$2,'Final Project Dataset'!$C$2:$C$251,$I$3,'Final Project Dataset'!$B$2:$B$251,"&gt;="&amp;$I$4,'Final Project Dataset'!$B$2:$B$251,"&lt;="&amp;$I$5)</f>
        <v>1</v>
      </c>
      <c r="E31" s="30">
        <f>SUMIFS('Final Project Dataset'!$D$2:$D$251,'Final Project Dataset'!$J$2:$J$251,$A31,'Final Project Dataset'!$G$2:$G$251,$I$2,'Final Project Dataset'!$C$2:$C$251,$I$3,'Final Project Dataset'!$B$2:$B$251,"&gt;="&amp;$I$4,'Final Project Dataset'!$B$2:$B$251,"&lt;="&amp;$I$5)</f>
        <v>2</v>
      </c>
    </row>
    <row r="32" spans="1:5" x14ac:dyDescent="0.3">
      <c r="A32" s="12" t="s">
        <v>68</v>
      </c>
      <c r="B32" s="13">
        <f>SUMIFS('Final Project Dataset'!$F$2:$F$251,'Final Project Dataset'!$J$2:$J$251,$A32,'Final Project Dataset'!$G$2:$G$251,$I$2,'Final Project Dataset'!$C$2:$C$251,$I$3,'Final Project Dataset'!$B$2:$B$251,"&gt;="&amp;$I$4,'Final Project Dataset'!$B$2:$B$251,"&lt;="&amp;$I$5)</f>
        <v>0</v>
      </c>
      <c r="C32" s="13">
        <f>SUMIFS('Final Project Dataset'!$H$2:$H$251,'Final Project Dataset'!$J$2:$J$251,$A32,'Final Project Dataset'!$G$2:$G$251,$I$2,'Final Project Dataset'!$C$2:$C$251,$I$3,'Final Project Dataset'!$B$2:$B$251,"&gt;="&amp;$I$4,'Final Project Dataset'!$B$2:$B$251,"&lt;="&amp;$I$5)</f>
        <v>0</v>
      </c>
      <c r="D32" s="30">
        <f>COUNTIFS('Final Project Dataset'!$J$2:$J$251,$A32,'Final Project Dataset'!$G$2:$G$251,$I$2,'Final Project Dataset'!$C$2:$C$251,$I$3,'Final Project Dataset'!$B$2:$B$251,"&gt;="&amp;$I$4,'Final Project Dataset'!$B$2:$B$251,"&lt;="&amp;$I$5)</f>
        <v>0</v>
      </c>
      <c r="E32" s="30">
        <f>SUMIFS('Final Project Dataset'!$D$2:$D$251,'Final Project Dataset'!$J$2:$J$251,$A32,'Final Project Dataset'!$G$2:$G$251,$I$2,'Final Project Dataset'!$C$2:$C$251,$I$3,'Final Project Dataset'!$B$2:$B$251,"&gt;="&amp;$I$4,'Final Project Dataset'!$B$2:$B$251,"&lt;="&amp;$I$5)</f>
        <v>0</v>
      </c>
    </row>
    <row r="33" spans="1:6" x14ac:dyDescent="0.3">
      <c r="A33" s="31" t="s">
        <v>503</v>
      </c>
      <c r="B33" s="32">
        <f>SUM(B28:B32)</f>
        <v>89673</v>
      </c>
      <c r="C33" s="32">
        <f>SUM(C28:C32)</f>
        <v>15915.679999999998</v>
      </c>
      <c r="D33" s="33">
        <f>SUM(D28:D32)</f>
        <v>3</v>
      </c>
      <c r="E33" s="33">
        <f>SUM(E28:E32)</f>
        <v>11</v>
      </c>
    </row>
    <row r="35" spans="1:6" x14ac:dyDescent="0.3">
      <c r="A35" s="5" t="s">
        <v>507</v>
      </c>
    </row>
    <row r="36" spans="1:6" x14ac:dyDescent="0.3">
      <c r="A36" s="8" t="s">
        <v>57</v>
      </c>
      <c r="B36" s="8" t="s">
        <v>12</v>
      </c>
      <c r="C36" s="8" t="s">
        <v>13</v>
      </c>
      <c r="D36" s="8" t="s">
        <v>17</v>
      </c>
      <c r="E36" s="8" t="s">
        <v>500</v>
      </c>
      <c r="F36" s="8" t="s">
        <v>508</v>
      </c>
    </row>
    <row r="37" spans="1:6" x14ac:dyDescent="0.3">
      <c r="A37" s="34">
        <f>DATE(2025,1,1)</f>
        <v>45658</v>
      </c>
      <c r="B37" s="13">
        <f>SUMIFS('Final Project Dataset'!$F$2:$F$251,'Final Project Dataset'!$G$2:$G$251,$I$2,'Final Project Dataset'!$C$2:$C$251,$I$3,'Final Project Dataset'!$B$2:$B$251,"&gt;="&amp;MAX($A37,$I$4),'Final Project Dataset'!$B$2:$B$251,"&lt;="&amp;MIN(EOMONTH($A37,0),$I$5))</f>
        <v>0</v>
      </c>
      <c r="C37" s="13">
        <f>SUMIFS('Final Project Dataset'!$H$2:$H$251,'Final Project Dataset'!$G$2:$G$251,$I$2,'Final Project Dataset'!$C$2:$C$251,$I$3,'Final Project Dataset'!$B$2:$B$251,"&gt;="&amp;MAX($A37,$I$4),'Final Project Dataset'!$B$2:$B$251,"&lt;="&amp;MIN(EOMONTH($A37,0),$I$5))</f>
        <v>0</v>
      </c>
      <c r="D37" s="30">
        <f>COUNTIFS('Final Project Dataset'!$G$2:$G$251,$I$2,'Final Project Dataset'!$C$2:$C$251,$I$3,'Final Project Dataset'!$B$2:$B$251,"&gt;="&amp;MAX($A37,$I$4),'Final Project Dataset'!$B$2:$B$251,"&lt;="&amp;MIN(EOMONTH($A37,0),$I$5))</f>
        <v>0</v>
      </c>
      <c r="E37" s="30">
        <f>SUMIFS('Final Project Dataset'!$D$2:$D$251,'Final Project Dataset'!$G$2:$G$251,$I$2,'Final Project Dataset'!$C$2:$C$251,$I$3,'Final Project Dataset'!$B$2:$B$251,"&gt;="&amp;MAX($A37,$I$4),'Final Project Dataset'!$B$2:$B$251,"&lt;="&amp;MIN(EOMONTH($A37,0),$I$5))</f>
        <v>0</v>
      </c>
      <c r="F37" s="22" t="str">
        <f t="shared" ref="F37:F48" si="0">TEXT(A37,"mmm yy")</f>
        <v>Jan 25</v>
      </c>
    </row>
    <row r="38" spans="1:6" x14ac:dyDescent="0.3">
      <c r="A38" s="34">
        <f t="shared" ref="A38:A48" si="1">EDATE(A37,1)</f>
        <v>45689</v>
      </c>
      <c r="B38" s="13">
        <f>SUMIFS('Final Project Dataset'!$F$2:$F$251,'Final Project Dataset'!$G$2:$G$251,$I$2,'Final Project Dataset'!$C$2:$C$251,$I$3,'Final Project Dataset'!$B$2:$B$251,"&gt;="&amp;MAX($A38,$I$4),'Final Project Dataset'!$B$2:$B$251,"&lt;="&amp;MIN(EOMONTH($A38,0),$I$5))</f>
        <v>0</v>
      </c>
      <c r="C38" s="13">
        <f>SUMIFS('Final Project Dataset'!$H$2:$H$251,'Final Project Dataset'!$G$2:$G$251,$I$2,'Final Project Dataset'!$C$2:$C$251,$I$3,'Final Project Dataset'!$B$2:$B$251,"&gt;="&amp;MAX($A38,$I$4),'Final Project Dataset'!$B$2:$B$251,"&lt;="&amp;MIN(EOMONTH($A38,0),$I$5))</f>
        <v>0</v>
      </c>
      <c r="D38" s="30">
        <f>COUNTIFS('Final Project Dataset'!$G$2:$G$251,$I$2,'Final Project Dataset'!$C$2:$C$251,$I$3,'Final Project Dataset'!$B$2:$B$251,"&gt;="&amp;MAX($A38,$I$4),'Final Project Dataset'!$B$2:$B$251,"&lt;="&amp;MIN(EOMONTH($A38,0),$I$5))</f>
        <v>0</v>
      </c>
      <c r="E38" s="30">
        <f>SUMIFS('Final Project Dataset'!$D$2:$D$251,'Final Project Dataset'!$G$2:$G$251,$I$2,'Final Project Dataset'!$C$2:$C$251,$I$3,'Final Project Dataset'!$B$2:$B$251,"&gt;="&amp;MAX($A38,$I$4),'Final Project Dataset'!$B$2:$B$251,"&lt;="&amp;MIN(EOMONTH($A38,0),$I$5))</f>
        <v>0</v>
      </c>
      <c r="F38" s="22" t="str">
        <f t="shared" si="0"/>
        <v>Feb 25</v>
      </c>
    </row>
    <row r="39" spans="1:6" x14ac:dyDescent="0.3">
      <c r="A39" s="34">
        <f t="shared" si="1"/>
        <v>45717</v>
      </c>
      <c r="B39" s="13">
        <f>SUMIFS('Final Project Dataset'!$F$2:$F$251,'Final Project Dataset'!$G$2:$G$251,$I$2,'Final Project Dataset'!$C$2:$C$251,$I$3,'Final Project Dataset'!$B$2:$B$251,"&gt;="&amp;MAX($A39,$I$4),'Final Project Dataset'!$B$2:$B$251,"&lt;="&amp;MIN(EOMONTH($A39,0),$I$5))</f>
        <v>43305</v>
      </c>
      <c r="C39" s="13">
        <f>SUMIFS('Final Project Dataset'!$H$2:$H$251,'Final Project Dataset'!$G$2:$G$251,$I$2,'Final Project Dataset'!$C$2:$C$251,$I$3,'Final Project Dataset'!$B$2:$B$251,"&gt;="&amp;MAX($A39,$I$4),'Final Project Dataset'!$B$2:$B$251,"&lt;="&amp;MIN(EOMONTH($A39,0),$I$5))</f>
        <v>7627.95</v>
      </c>
      <c r="D39" s="30">
        <f>COUNTIFS('Final Project Dataset'!$G$2:$G$251,$I$2,'Final Project Dataset'!$C$2:$C$251,$I$3,'Final Project Dataset'!$B$2:$B$251,"&gt;="&amp;MAX($A39,$I$4),'Final Project Dataset'!$B$2:$B$251,"&lt;="&amp;MIN(EOMONTH($A39,0),$I$5))</f>
        <v>1</v>
      </c>
      <c r="E39" s="30">
        <f>SUMIFS('Final Project Dataset'!$D$2:$D$251,'Final Project Dataset'!$G$2:$G$251,$I$2,'Final Project Dataset'!$C$2:$C$251,$I$3,'Final Project Dataset'!$B$2:$B$251,"&gt;="&amp;MAX($A39,$I$4),'Final Project Dataset'!$B$2:$B$251,"&lt;="&amp;MIN(EOMONTH($A39,0),$I$5))</f>
        <v>5</v>
      </c>
      <c r="F39" s="22" t="str">
        <f t="shared" si="0"/>
        <v>Mar 25</v>
      </c>
    </row>
    <row r="40" spans="1:6" x14ac:dyDescent="0.3">
      <c r="A40" s="34">
        <f t="shared" si="1"/>
        <v>45748</v>
      </c>
      <c r="B40" s="13">
        <f>SUMIFS('Final Project Dataset'!$F$2:$F$251,'Final Project Dataset'!$G$2:$G$251,$I$2,'Final Project Dataset'!$C$2:$C$251,$I$3,'Final Project Dataset'!$B$2:$B$251,"&gt;="&amp;MAX($A40,$I$4),'Final Project Dataset'!$B$2:$B$251,"&lt;="&amp;MIN(EOMONTH($A40,0),$I$5))</f>
        <v>0</v>
      </c>
      <c r="C40" s="13">
        <f>SUMIFS('Final Project Dataset'!$H$2:$H$251,'Final Project Dataset'!$G$2:$G$251,$I$2,'Final Project Dataset'!$C$2:$C$251,$I$3,'Final Project Dataset'!$B$2:$B$251,"&gt;="&amp;MAX($A40,$I$4),'Final Project Dataset'!$B$2:$B$251,"&lt;="&amp;MIN(EOMONTH($A40,0),$I$5))</f>
        <v>0</v>
      </c>
      <c r="D40" s="30">
        <f>COUNTIFS('Final Project Dataset'!$G$2:$G$251,$I$2,'Final Project Dataset'!$C$2:$C$251,$I$3,'Final Project Dataset'!$B$2:$B$251,"&gt;="&amp;MAX($A40,$I$4),'Final Project Dataset'!$B$2:$B$251,"&lt;="&amp;MIN(EOMONTH($A40,0),$I$5))</f>
        <v>0</v>
      </c>
      <c r="E40" s="30">
        <f>SUMIFS('Final Project Dataset'!$D$2:$D$251,'Final Project Dataset'!$G$2:$G$251,$I$2,'Final Project Dataset'!$C$2:$C$251,$I$3,'Final Project Dataset'!$B$2:$B$251,"&gt;="&amp;MAX($A40,$I$4),'Final Project Dataset'!$B$2:$B$251,"&lt;="&amp;MIN(EOMONTH($A40,0),$I$5))</f>
        <v>0</v>
      </c>
      <c r="F40" s="22" t="str">
        <f t="shared" si="0"/>
        <v>Apr 25</v>
      </c>
    </row>
    <row r="41" spans="1:6" x14ac:dyDescent="0.3">
      <c r="A41" s="34">
        <f t="shared" si="1"/>
        <v>45778</v>
      </c>
      <c r="B41" s="13">
        <f>SUMIFS('Final Project Dataset'!$F$2:$F$251,'Final Project Dataset'!$G$2:$G$251,$I$2,'Final Project Dataset'!$C$2:$C$251,$I$3,'Final Project Dataset'!$B$2:$B$251,"&gt;="&amp;MAX($A41,$I$4),'Final Project Dataset'!$B$2:$B$251,"&lt;="&amp;MIN(EOMONTH($A41,0),$I$5))</f>
        <v>0</v>
      </c>
      <c r="C41" s="13">
        <f>SUMIFS('Final Project Dataset'!$H$2:$H$251,'Final Project Dataset'!$G$2:$G$251,$I$2,'Final Project Dataset'!$C$2:$C$251,$I$3,'Final Project Dataset'!$B$2:$B$251,"&gt;="&amp;MAX($A41,$I$4),'Final Project Dataset'!$B$2:$B$251,"&lt;="&amp;MIN(EOMONTH($A41,0),$I$5))</f>
        <v>0</v>
      </c>
      <c r="D41" s="30">
        <f>COUNTIFS('Final Project Dataset'!$G$2:$G$251,$I$2,'Final Project Dataset'!$C$2:$C$251,$I$3,'Final Project Dataset'!$B$2:$B$251,"&gt;="&amp;MAX($A41,$I$4),'Final Project Dataset'!$B$2:$B$251,"&lt;="&amp;MIN(EOMONTH($A41,0),$I$5))</f>
        <v>0</v>
      </c>
      <c r="E41" s="30">
        <f>SUMIFS('Final Project Dataset'!$D$2:$D$251,'Final Project Dataset'!$G$2:$G$251,$I$2,'Final Project Dataset'!$C$2:$C$251,$I$3,'Final Project Dataset'!$B$2:$B$251,"&gt;="&amp;MAX($A41,$I$4),'Final Project Dataset'!$B$2:$B$251,"&lt;="&amp;MIN(EOMONTH($A41,0),$I$5))</f>
        <v>0</v>
      </c>
      <c r="F41" s="22" t="str">
        <f t="shared" si="0"/>
        <v>May 25</v>
      </c>
    </row>
    <row r="42" spans="1:6" x14ac:dyDescent="0.3">
      <c r="A42" s="34">
        <f t="shared" si="1"/>
        <v>45809</v>
      </c>
      <c r="B42" s="13">
        <f>SUMIFS('Final Project Dataset'!$F$2:$F$251,'Final Project Dataset'!$G$2:$G$251,$I$2,'Final Project Dataset'!$C$2:$C$251,$I$3,'Final Project Dataset'!$B$2:$B$251,"&gt;="&amp;MAX($A42,$I$4),'Final Project Dataset'!$B$2:$B$251,"&lt;="&amp;MIN(EOMONTH($A42,0),$I$5))</f>
        <v>15332</v>
      </c>
      <c r="C42" s="13">
        <f>SUMIFS('Final Project Dataset'!$H$2:$H$251,'Final Project Dataset'!$G$2:$G$251,$I$2,'Final Project Dataset'!$C$2:$C$251,$I$3,'Final Project Dataset'!$B$2:$B$251,"&gt;="&amp;MAX($A42,$I$4),'Final Project Dataset'!$B$2:$B$251,"&lt;="&amp;MIN(EOMONTH($A42,0),$I$5))</f>
        <v>1995.56</v>
      </c>
      <c r="D42" s="30">
        <f>COUNTIFS('Final Project Dataset'!$G$2:$G$251,$I$2,'Final Project Dataset'!$C$2:$C$251,$I$3,'Final Project Dataset'!$B$2:$B$251,"&gt;="&amp;MAX($A42,$I$4),'Final Project Dataset'!$B$2:$B$251,"&lt;="&amp;MIN(EOMONTH($A42,0),$I$5))</f>
        <v>1</v>
      </c>
      <c r="E42" s="30">
        <f>SUMIFS('Final Project Dataset'!$D$2:$D$251,'Final Project Dataset'!$G$2:$G$251,$I$2,'Final Project Dataset'!$C$2:$C$251,$I$3,'Final Project Dataset'!$B$2:$B$251,"&gt;="&amp;MAX($A42,$I$4),'Final Project Dataset'!$B$2:$B$251,"&lt;="&amp;MIN(EOMONTH($A42,0),$I$5))</f>
        <v>2</v>
      </c>
      <c r="F42" s="22" t="str">
        <f t="shared" si="0"/>
        <v>Jun 25</v>
      </c>
    </row>
    <row r="43" spans="1:6" x14ac:dyDescent="0.3">
      <c r="A43" s="34">
        <f t="shared" si="1"/>
        <v>45839</v>
      </c>
      <c r="B43" s="13">
        <f>SUMIFS('Final Project Dataset'!$F$2:$F$251,'Final Project Dataset'!$G$2:$G$251,$I$2,'Final Project Dataset'!$C$2:$C$251,$I$3,'Final Project Dataset'!$B$2:$B$251,"&gt;="&amp;MAX($A43,$I$4),'Final Project Dataset'!$B$2:$B$251,"&lt;="&amp;MIN(EOMONTH($A43,0),$I$5))</f>
        <v>0</v>
      </c>
      <c r="C43" s="13">
        <f>SUMIFS('Final Project Dataset'!$H$2:$H$251,'Final Project Dataset'!$G$2:$G$251,$I$2,'Final Project Dataset'!$C$2:$C$251,$I$3,'Final Project Dataset'!$B$2:$B$251,"&gt;="&amp;MAX($A43,$I$4),'Final Project Dataset'!$B$2:$B$251,"&lt;="&amp;MIN(EOMONTH($A43,0),$I$5))</f>
        <v>0</v>
      </c>
      <c r="D43" s="30">
        <f>COUNTIFS('Final Project Dataset'!$G$2:$G$251,$I$2,'Final Project Dataset'!$C$2:$C$251,$I$3,'Final Project Dataset'!$B$2:$B$251,"&gt;="&amp;MAX($A43,$I$4),'Final Project Dataset'!$B$2:$B$251,"&lt;="&amp;MIN(EOMONTH($A43,0),$I$5))</f>
        <v>0</v>
      </c>
      <c r="E43" s="30">
        <f>SUMIFS('Final Project Dataset'!$D$2:$D$251,'Final Project Dataset'!$G$2:$G$251,$I$2,'Final Project Dataset'!$C$2:$C$251,$I$3,'Final Project Dataset'!$B$2:$B$251,"&gt;="&amp;MAX($A43,$I$4),'Final Project Dataset'!$B$2:$B$251,"&lt;="&amp;MIN(EOMONTH($A43,0),$I$5))</f>
        <v>0</v>
      </c>
      <c r="F43" s="22" t="str">
        <f t="shared" si="0"/>
        <v>Jul 25</v>
      </c>
    </row>
    <row r="44" spans="1:6" x14ac:dyDescent="0.3">
      <c r="A44" s="34">
        <f t="shared" si="1"/>
        <v>45870</v>
      </c>
      <c r="B44" s="13">
        <f>SUMIFS('Final Project Dataset'!$F$2:$F$251,'Final Project Dataset'!$G$2:$G$251,$I$2,'Final Project Dataset'!$C$2:$C$251,$I$3,'Final Project Dataset'!$B$2:$B$251,"&gt;="&amp;MAX($A44,$I$4),'Final Project Dataset'!$B$2:$B$251,"&lt;="&amp;MIN(EOMONTH($A44,0),$I$5))</f>
        <v>0</v>
      </c>
      <c r="C44" s="13">
        <f>SUMIFS('Final Project Dataset'!$H$2:$H$251,'Final Project Dataset'!$G$2:$G$251,$I$2,'Final Project Dataset'!$C$2:$C$251,$I$3,'Final Project Dataset'!$B$2:$B$251,"&gt;="&amp;MAX($A44,$I$4),'Final Project Dataset'!$B$2:$B$251,"&lt;="&amp;MIN(EOMONTH($A44,0),$I$5))</f>
        <v>0</v>
      </c>
      <c r="D44" s="30">
        <f>COUNTIFS('Final Project Dataset'!$G$2:$G$251,$I$2,'Final Project Dataset'!$C$2:$C$251,$I$3,'Final Project Dataset'!$B$2:$B$251,"&gt;="&amp;MAX($A44,$I$4),'Final Project Dataset'!$B$2:$B$251,"&lt;="&amp;MIN(EOMONTH($A44,0),$I$5))</f>
        <v>0</v>
      </c>
      <c r="E44" s="30">
        <f>SUMIFS('Final Project Dataset'!$D$2:$D$251,'Final Project Dataset'!$G$2:$G$251,$I$2,'Final Project Dataset'!$C$2:$C$251,$I$3,'Final Project Dataset'!$B$2:$B$251,"&gt;="&amp;MAX($A44,$I$4),'Final Project Dataset'!$B$2:$B$251,"&lt;="&amp;MIN(EOMONTH($A44,0),$I$5))</f>
        <v>0</v>
      </c>
      <c r="F44" s="22" t="str">
        <f t="shared" si="0"/>
        <v>Aug 25</v>
      </c>
    </row>
    <row r="45" spans="1:6" x14ac:dyDescent="0.3">
      <c r="A45" s="34">
        <f t="shared" si="1"/>
        <v>45901</v>
      </c>
      <c r="B45" s="13">
        <f>SUMIFS('Final Project Dataset'!$F$2:$F$251,'Final Project Dataset'!$G$2:$G$251,$I$2,'Final Project Dataset'!$C$2:$C$251,$I$3,'Final Project Dataset'!$B$2:$B$251,"&gt;="&amp;MAX($A45,$I$4),'Final Project Dataset'!$B$2:$B$251,"&lt;="&amp;MIN(EOMONTH($A45,0),$I$5))</f>
        <v>0</v>
      </c>
      <c r="C45" s="13">
        <f>SUMIFS('Final Project Dataset'!$H$2:$H$251,'Final Project Dataset'!$G$2:$G$251,$I$2,'Final Project Dataset'!$C$2:$C$251,$I$3,'Final Project Dataset'!$B$2:$B$251,"&gt;="&amp;MAX($A45,$I$4),'Final Project Dataset'!$B$2:$B$251,"&lt;="&amp;MIN(EOMONTH($A45,0),$I$5))</f>
        <v>0</v>
      </c>
      <c r="D45" s="30">
        <f>COUNTIFS('Final Project Dataset'!$G$2:$G$251,$I$2,'Final Project Dataset'!$C$2:$C$251,$I$3,'Final Project Dataset'!$B$2:$B$251,"&gt;="&amp;MAX($A45,$I$4),'Final Project Dataset'!$B$2:$B$251,"&lt;="&amp;MIN(EOMONTH($A45,0),$I$5))</f>
        <v>0</v>
      </c>
      <c r="E45" s="30">
        <f>SUMIFS('Final Project Dataset'!$D$2:$D$251,'Final Project Dataset'!$G$2:$G$251,$I$2,'Final Project Dataset'!$C$2:$C$251,$I$3,'Final Project Dataset'!$B$2:$B$251,"&gt;="&amp;MAX($A45,$I$4),'Final Project Dataset'!$B$2:$B$251,"&lt;="&amp;MIN(EOMONTH($A45,0),$I$5))</f>
        <v>0</v>
      </c>
      <c r="F45" s="22" t="str">
        <f t="shared" si="0"/>
        <v>Sep 25</v>
      </c>
    </row>
    <row r="46" spans="1:6" x14ac:dyDescent="0.3">
      <c r="A46" s="34">
        <f t="shared" si="1"/>
        <v>45931</v>
      </c>
      <c r="B46" s="13">
        <f>SUMIFS('Final Project Dataset'!$F$2:$F$251,'Final Project Dataset'!$G$2:$G$251,$I$2,'Final Project Dataset'!$C$2:$C$251,$I$3,'Final Project Dataset'!$B$2:$B$251,"&gt;="&amp;MAX($A46,$I$4),'Final Project Dataset'!$B$2:$B$251,"&lt;="&amp;MIN(EOMONTH($A46,0),$I$5))</f>
        <v>0</v>
      </c>
      <c r="C46" s="13">
        <f>SUMIFS('Final Project Dataset'!$H$2:$H$251,'Final Project Dataset'!$G$2:$G$251,$I$2,'Final Project Dataset'!$C$2:$C$251,$I$3,'Final Project Dataset'!$B$2:$B$251,"&gt;="&amp;MAX($A46,$I$4),'Final Project Dataset'!$B$2:$B$251,"&lt;="&amp;MIN(EOMONTH($A46,0),$I$5))</f>
        <v>0</v>
      </c>
      <c r="D46" s="30">
        <f>COUNTIFS('Final Project Dataset'!$G$2:$G$251,$I$2,'Final Project Dataset'!$C$2:$C$251,$I$3,'Final Project Dataset'!$B$2:$B$251,"&gt;="&amp;MAX($A46,$I$4),'Final Project Dataset'!$B$2:$B$251,"&lt;="&amp;MIN(EOMONTH($A46,0),$I$5))</f>
        <v>0</v>
      </c>
      <c r="E46" s="30">
        <f>SUMIFS('Final Project Dataset'!$D$2:$D$251,'Final Project Dataset'!$G$2:$G$251,$I$2,'Final Project Dataset'!$C$2:$C$251,$I$3,'Final Project Dataset'!$B$2:$B$251,"&gt;="&amp;MAX($A46,$I$4),'Final Project Dataset'!$B$2:$B$251,"&lt;="&amp;MIN(EOMONTH($A46,0),$I$5))</f>
        <v>0</v>
      </c>
      <c r="F46" s="22" t="str">
        <f t="shared" si="0"/>
        <v>Oct 25</v>
      </c>
    </row>
    <row r="47" spans="1:6" x14ac:dyDescent="0.3">
      <c r="A47" s="34">
        <f t="shared" si="1"/>
        <v>45962</v>
      </c>
      <c r="B47" s="13">
        <f>SUMIFS('Final Project Dataset'!$F$2:$F$251,'Final Project Dataset'!$G$2:$G$251,$I$2,'Final Project Dataset'!$C$2:$C$251,$I$3,'Final Project Dataset'!$B$2:$B$251,"&gt;="&amp;MAX($A47,$I$4),'Final Project Dataset'!$B$2:$B$251,"&lt;="&amp;MIN(EOMONTH($A47,0),$I$5))</f>
        <v>31036</v>
      </c>
      <c r="C47" s="13">
        <f>SUMIFS('Final Project Dataset'!$H$2:$H$251,'Final Project Dataset'!$G$2:$G$251,$I$2,'Final Project Dataset'!$C$2:$C$251,$I$3,'Final Project Dataset'!$B$2:$B$251,"&gt;="&amp;MAX($A47,$I$4),'Final Project Dataset'!$B$2:$B$251,"&lt;="&amp;MIN(EOMONTH($A47,0),$I$5))</f>
        <v>6292.17</v>
      </c>
      <c r="D47" s="30">
        <f>COUNTIFS('Final Project Dataset'!$G$2:$G$251,$I$2,'Final Project Dataset'!$C$2:$C$251,$I$3,'Final Project Dataset'!$B$2:$B$251,"&gt;="&amp;MAX($A47,$I$4),'Final Project Dataset'!$B$2:$B$251,"&lt;="&amp;MIN(EOMONTH($A47,0),$I$5))</f>
        <v>1</v>
      </c>
      <c r="E47" s="30">
        <f>SUMIFS('Final Project Dataset'!$D$2:$D$251,'Final Project Dataset'!$G$2:$G$251,$I$2,'Final Project Dataset'!$C$2:$C$251,$I$3,'Final Project Dataset'!$B$2:$B$251,"&gt;="&amp;MAX($A47,$I$4),'Final Project Dataset'!$B$2:$B$251,"&lt;="&amp;MIN(EOMONTH($A47,0),$I$5))</f>
        <v>4</v>
      </c>
      <c r="F47" s="22" t="str">
        <f t="shared" si="0"/>
        <v>Nov 25</v>
      </c>
    </row>
    <row r="48" spans="1:6" x14ac:dyDescent="0.3">
      <c r="A48" s="34">
        <f t="shared" si="1"/>
        <v>45992</v>
      </c>
      <c r="B48" s="13">
        <f>SUMIFS('Final Project Dataset'!$F$2:$F$251,'Final Project Dataset'!$G$2:$G$251,$I$2,'Final Project Dataset'!$C$2:$C$251,$I$3,'Final Project Dataset'!$B$2:$B$251,"&gt;="&amp;MAX($A48,$I$4),'Final Project Dataset'!$B$2:$B$251,"&lt;="&amp;MIN(EOMONTH($A48,0),$I$5))</f>
        <v>0</v>
      </c>
      <c r="C48" s="13">
        <f>SUMIFS('Final Project Dataset'!$H$2:$H$251,'Final Project Dataset'!$G$2:$G$251,$I$2,'Final Project Dataset'!$C$2:$C$251,$I$3,'Final Project Dataset'!$B$2:$B$251,"&gt;="&amp;MAX($A48,$I$4),'Final Project Dataset'!$B$2:$B$251,"&lt;="&amp;MIN(EOMONTH($A48,0),$I$5))</f>
        <v>0</v>
      </c>
      <c r="D48" s="30">
        <f>COUNTIFS('Final Project Dataset'!$G$2:$G$251,$I$2,'Final Project Dataset'!$C$2:$C$251,$I$3,'Final Project Dataset'!$B$2:$B$251,"&gt;="&amp;MAX($A48,$I$4),'Final Project Dataset'!$B$2:$B$251,"&lt;="&amp;MIN(EOMONTH($A48,0),$I$5))</f>
        <v>0</v>
      </c>
      <c r="E48" s="30">
        <f>SUMIFS('Final Project Dataset'!$D$2:$D$251,'Final Project Dataset'!$G$2:$G$251,$I$2,'Final Project Dataset'!$C$2:$C$251,$I$3,'Final Project Dataset'!$B$2:$B$251,"&gt;="&amp;MAX($A48,$I$4),'Final Project Dataset'!$B$2:$B$251,"&lt;="&amp;MIN(EOMONTH($A48,0),$I$5))</f>
        <v>0</v>
      </c>
      <c r="F48" s="22" t="str">
        <f t="shared" si="0"/>
        <v>Dec 25</v>
      </c>
    </row>
    <row r="49" spans="1:5" x14ac:dyDescent="0.3">
      <c r="A49" s="31" t="s">
        <v>503</v>
      </c>
      <c r="B49" s="32">
        <f>SUM(B37:B48)</f>
        <v>89673</v>
      </c>
      <c r="C49" s="32">
        <f>SUM(C37:C48)</f>
        <v>15915.68</v>
      </c>
      <c r="D49" s="33">
        <f>SUM(D37:D48)</f>
        <v>3</v>
      </c>
      <c r="E49" s="33">
        <f>SUM(E37:E48)</f>
        <v>11</v>
      </c>
    </row>
  </sheetData>
  <mergeCells count="1">
    <mergeCell ref="A1:F1"/>
  </mergeCells>
  <conditionalFormatting sqref="B5:B14">
    <cfRule type="dataBar" priority="2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{4B7B5B86-24B8-482A-B9E0-F7F45BB41B1E}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7B5B86-24B8-482A-B9E0-F7F45BB41B1E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B5:B14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I34"/>
  <sheetViews>
    <sheetView zoomScaleNormal="100" workbookViewId="0">
      <selection activeCell="B4" sqref="B4"/>
    </sheetView>
  </sheetViews>
  <sheetFormatPr defaultColWidth="8.6640625" defaultRowHeight="14.4" x14ac:dyDescent="0.3"/>
  <cols>
    <col min="1" max="1" width="14" customWidth="1"/>
    <col min="2" max="4" width="13" customWidth="1"/>
    <col min="5" max="5" width="8" customWidth="1"/>
    <col min="6" max="6" width="12" customWidth="1"/>
    <col min="7" max="7" width="10" customWidth="1"/>
    <col min="8" max="8" width="12" customWidth="1"/>
    <col min="9" max="9" width="18" customWidth="1"/>
  </cols>
  <sheetData>
    <row r="1" spans="1:9" ht="30" customHeight="1" x14ac:dyDescent="0.3">
      <c r="A1" s="3" t="s">
        <v>509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510</v>
      </c>
    </row>
    <row r="3" spans="1:9" x14ac:dyDescent="0.3">
      <c r="A3" s="5" t="s">
        <v>48</v>
      </c>
      <c r="B3" s="6" t="s">
        <v>2</v>
      </c>
      <c r="D3" s="35" t="s">
        <v>511</v>
      </c>
    </row>
    <row r="4" spans="1:9" x14ac:dyDescent="0.3">
      <c r="A4" s="5" t="s">
        <v>31</v>
      </c>
      <c r="B4" s="6" t="s">
        <v>39</v>
      </c>
      <c r="D4" s="4" t="s">
        <v>512</v>
      </c>
    </row>
    <row r="5" spans="1:9" x14ac:dyDescent="0.3">
      <c r="A5" s="5" t="s">
        <v>513</v>
      </c>
      <c r="B5" s="36">
        <v>0</v>
      </c>
      <c r="D5" s="4" t="s">
        <v>514</v>
      </c>
    </row>
    <row r="7" spans="1:9" x14ac:dyDescent="0.3">
      <c r="A7" s="5" t="s">
        <v>515</v>
      </c>
      <c r="B7" s="5">
        <f>SUM('Final Project Dataset'!$S$2:$S$251)</f>
        <v>22</v>
      </c>
    </row>
    <row r="9" spans="1:9" x14ac:dyDescent="0.3">
      <c r="A9" s="8" t="s">
        <v>10</v>
      </c>
      <c r="B9" s="8" t="s">
        <v>516</v>
      </c>
      <c r="C9" s="8" t="s">
        <v>517</v>
      </c>
      <c r="D9" s="8" t="s">
        <v>31</v>
      </c>
      <c r="E9" s="8" t="s">
        <v>518</v>
      </c>
      <c r="F9" s="8" t="s">
        <v>12</v>
      </c>
      <c r="G9" s="8" t="s">
        <v>48</v>
      </c>
      <c r="H9" s="8" t="s">
        <v>13</v>
      </c>
      <c r="I9" s="8" t="s">
        <v>11</v>
      </c>
    </row>
    <row r="10" spans="1:9" x14ac:dyDescent="0.3">
      <c r="A10" s="11">
        <v>1</v>
      </c>
      <c r="B10" s="12" t="str">
        <f>IFERROR(INDEX('Final Project Dataset'!$A$2:$A$251,MATCH($A10,'Final Project Dataset'!$T$2:$T$251,0)),"")</f>
        <v>T0003</v>
      </c>
      <c r="C10" s="37">
        <f>IFERROR(INDEX('Final Project Dataset'!$B$2:$B$251,MATCH($A10,'Final Project Dataset'!$T$2:$T$251,0)),"")</f>
        <v>45661</v>
      </c>
      <c r="D10" s="12" t="str">
        <f>IFERROR(INDEX('Final Project Dataset'!$C$2:$C$251,MATCH($A10,'Final Project Dataset'!$T$2:$T$251,0)),"")</f>
        <v>Tablet</v>
      </c>
      <c r="E10" s="12">
        <f>IFERROR(INDEX('Final Project Dataset'!$D$2:$D$251,MATCH($A10,'Final Project Dataset'!$T$2:$T$251,0)),"")</f>
        <v>2</v>
      </c>
      <c r="F10" s="30">
        <f>IFERROR(INDEX('Final Project Dataset'!$F$2:$F$251,MATCH($A10,'Final Project Dataset'!$T$2:$T$251,0)),"")</f>
        <v>34624</v>
      </c>
      <c r="G10" s="12" t="str">
        <f>IFERROR(INDEX('Final Project Dataset'!$G$2:$G$251,MATCH($A10,'Final Project Dataset'!$T$2:$T$251,0)),"")</f>
        <v>South</v>
      </c>
      <c r="H10" s="30">
        <f>IFERROR(INDEX('Final Project Dataset'!$H$2:$H$251,MATCH($A10,'Final Project Dataset'!$T$2:$T$251,0)),"")</f>
        <v>3946.53</v>
      </c>
      <c r="I10" s="12" t="str">
        <f>IFERROR(INDEX('Final Project Dataset'!$K$2:$K$251,MATCH($A10,'Final Project Dataset'!$T$2:$T$251,0)),"")</f>
        <v>Aditya Trivedi</v>
      </c>
    </row>
    <row r="11" spans="1:9" x14ac:dyDescent="0.3">
      <c r="A11" s="11">
        <v>2</v>
      </c>
      <c r="B11" s="12" t="str">
        <f>IFERROR(INDEX('Final Project Dataset'!$A$2:$A$251,MATCH($A11,'Final Project Dataset'!$T$2:$T$251,0)),"")</f>
        <v>T0020</v>
      </c>
      <c r="C11" s="37">
        <f>IFERROR(INDEX('Final Project Dataset'!$B$2:$B$251,MATCH($A11,'Final Project Dataset'!$T$2:$T$251,0)),"")</f>
        <v>45689</v>
      </c>
      <c r="D11" s="12" t="str">
        <f>IFERROR(INDEX('Final Project Dataset'!$C$2:$C$251,MATCH($A11,'Final Project Dataset'!$T$2:$T$251,0)),"")</f>
        <v>Tablet</v>
      </c>
      <c r="E11" s="12">
        <f>IFERROR(INDEX('Final Project Dataset'!$D$2:$D$251,MATCH($A11,'Final Project Dataset'!$T$2:$T$251,0)),"")</f>
        <v>1</v>
      </c>
      <c r="F11" s="30">
        <f>IFERROR(INDEX('Final Project Dataset'!$F$2:$F$251,MATCH($A11,'Final Project Dataset'!$T$2:$T$251,0)),"")</f>
        <v>16411</v>
      </c>
      <c r="G11" s="12" t="str">
        <f>IFERROR(INDEX('Final Project Dataset'!$G$2:$G$251,MATCH($A11,'Final Project Dataset'!$T$2:$T$251,0)),"")</f>
        <v>East</v>
      </c>
      <c r="H11" s="30">
        <f>IFERROR(INDEX('Final Project Dataset'!$H$2:$H$251,MATCH($A11,'Final Project Dataset'!$T$2:$T$251,0)),"")</f>
        <v>2520.3000000000002</v>
      </c>
      <c r="I11" s="12" t="str">
        <f>IFERROR(INDEX('Final Project Dataset'!$K$2:$K$251,MATCH($A11,'Final Project Dataset'!$T$2:$T$251,0)),"")</f>
        <v>Amit Singh</v>
      </c>
    </row>
    <row r="12" spans="1:9" x14ac:dyDescent="0.3">
      <c r="A12" s="11">
        <v>3</v>
      </c>
      <c r="B12" s="12" t="str">
        <f>IFERROR(INDEX('Final Project Dataset'!$A$2:$A$251,MATCH($A12,'Final Project Dataset'!$T$2:$T$251,0)),"")</f>
        <v>T0030</v>
      </c>
      <c r="C12" s="37">
        <f>IFERROR(INDEX('Final Project Dataset'!$B$2:$B$251,MATCH($A12,'Final Project Dataset'!$T$2:$T$251,0)),"")</f>
        <v>45705</v>
      </c>
      <c r="D12" s="12" t="str">
        <f>IFERROR(INDEX('Final Project Dataset'!$C$2:$C$251,MATCH($A12,'Final Project Dataset'!$T$2:$T$251,0)),"")</f>
        <v>Tablet</v>
      </c>
      <c r="E12" s="12">
        <f>IFERROR(INDEX('Final Project Dataset'!$D$2:$D$251,MATCH($A12,'Final Project Dataset'!$T$2:$T$251,0)),"")</f>
        <v>1</v>
      </c>
      <c r="F12" s="30">
        <f>IFERROR(INDEX('Final Project Dataset'!$F$2:$F$251,MATCH($A12,'Final Project Dataset'!$T$2:$T$251,0)),"")</f>
        <v>19646</v>
      </c>
      <c r="G12" s="12" t="str">
        <f>IFERROR(INDEX('Final Project Dataset'!$G$2:$G$251,MATCH($A12,'Final Project Dataset'!$T$2:$T$251,0)),"")</f>
        <v>West</v>
      </c>
      <c r="H12" s="30">
        <f>IFERROR(INDEX('Final Project Dataset'!$H$2:$H$251,MATCH($A12,'Final Project Dataset'!$T$2:$T$251,0)),"")</f>
        <v>2232.9499999999998</v>
      </c>
      <c r="I12" s="12" t="str">
        <f>IFERROR(INDEX('Final Project Dataset'!$K$2:$K$251,MATCH($A12,'Final Project Dataset'!$T$2:$T$251,0)),"")</f>
        <v>Vihaan Mehta</v>
      </c>
    </row>
    <row r="13" spans="1:9" x14ac:dyDescent="0.3">
      <c r="A13" s="11">
        <v>4</v>
      </c>
      <c r="B13" s="12" t="str">
        <f>IFERROR(INDEX('Final Project Dataset'!$A$2:$A$251,MATCH($A13,'Final Project Dataset'!$T$2:$T$251,0)),"")</f>
        <v>T0039</v>
      </c>
      <c r="C13" s="37">
        <f>IFERROR(INDEX('Final Project Dataset'!$B$2:$B$251,MATCH($A13,'Final Project Dataset'!$T$2:$T$251,0)),"")</f>
        <v>45714</v>
      </c>
      <c r="D13" s="12" t="str">
        <f>IFERROR(INDEX('Final Project Dataset'!$C$2:$C$251,MATCH($A13,'Final Project Dataset'!$T$2:$T$251,0)),"")</f>
        <v>Tablet</v>
      </c>
      <c r="E13" s="12">
        <f>IFERROR(INDEX('Final Project Dataset'!$D$2:$D$251,MATCH($A13,'Final Project Dataset'!$T$2:$T$251,0)),"")</f>
        <v>1</v>
      </c>
      <c r="F13" s="30">
        <f>IFERROR(INDEX('Final Project Dataset'!$F$2:$F$251,MATCH($A13,'Final Project Dataset'!$T$2:$T$251,0)),"")</f>
        <v>16260</v>
      </c>
      <c r="G13" s="12" t="str">
        <f>IFERROR(INDEX('Final Project Dataset'!$G$2:$G$251,MATCH($A13,'Final Project Dataset'!$T$2:$T$251,0)),"")</f>
        <v>West</v>
      </c>
      <c r="H13" s="30">
        <f>IFERROR(INDEX('Final Project Dataset'!$H$2:$H$251,MATCH($A13,'Final Project Dataset'!$T$2:$T$251,0)),"")</f>
        <v>1839.4</v>
      </c>
      <c r="I13" s="12" t="str">
        <f>IFERROR(INDEX('Final Project Dataset'!$K$2:$K$251,MATCH($A13,'Final Project Dataset'!$T$2:$T$251,0)),"")</f>
        <v>Nikhil Desai</v>
      </c>
    </row>
    <row r="14" spans="1:9" x14ac:dyDescent="0.3">
      <c r="A14" s="11">
        <v>5</v>
      </c>
      <c r="B14" s="12" t="str">
        <f>IFERROR(INDEX('Final Project Dataset'!$A$2:$A$251,MATCH($A14,'Final Project Dataset'!$T$2:$T$251,0)),"")</f>
        <v>T0040</v>
      </c>
      <c r="C14" s="37">
        <f>IFERROR(INDEX('Final Project Dataset'!$B$2:$B$251,MATCH($A14,'Final Project Dataset'!$T$2:$T$251,0)),"")</f>
        <v>45716</v>
      </c>
      <c r="D14" s="12" t="str">
        <f>IFERROR(INDEX('Final Project Dataset'!$C$2:$C$251,MATCH($A14,'Final Project Dataset'!$T$2:$T$251,0)),"")</f>
        <v>Tablet</v>
      </c>
      <c r="E14" s="12">
        <f>IFERROR(INDEX('Final Project Dataset'!$D$2:$D$251,MATCH($A14,'Final Project Dataset'!$T$2:$T$251,0)),"")</f>
        <v>5</v>
      </c>
      <c r="F14" s="30">
        <f>IFERROR(INDEX('Final Project Dataset'!$F$2:$F$251,MATCH($A14,'Final Project Dataset'!$T$2:$T$251,0)),"")</f>
        <v>96495</v>
      </c>
      <c r="G14" s="12" t="str">
        <f>IFERROR(INDEX('Final Project Dataset'!$G$2:$G$251,MATCH($A14,'Final Project Dataset'!$T$2:$T$251,0)),"")</f>
        <v>Central</v>
      </c>
      <c r="H14" s="30">
        <f>IFERROR(INDEX('Final Project Dataset'!$H$2:$H$251,MATCH($A14,'Final Project Dataset'!$T$2:$T$251,0)),"")</f>
        <v>7830.39</v>
      </c>
      <c r="I14" s="12" t="str">
        <f>IFERROR(INDEX('Final Project Dataset'!$K$2:$K$251,MATCH($A14,'Final Project Dataset'!$T$2:$T$251,0)),"")</f>
        <v>Meera Sharma</v>
      </c>
    </row>
    <row r="15" spans="1:9" x14ac:dyDescent="0.3">
      <c r="A15" s="11">
        <v>6</v>
      </c>
      <c r="B15" s="12" t="str">
        <f>IFERROR(INDEX('Final Project Dataset'!$A$2:$A$251,MATCH($A15,'Final Project Dataset'!$T$2:$T$251,0)),"")</f>
        <v>T0044</v>
      </c>
      <c r="C15" s="37">
        <f>IFERROR(INDEX('Final Project Dataset'!$B$2:$B$251,MATCH($A15,'Final Project Dataset'!$T$2:$T$251,0)),"")</f>
        <v>45719</v>
      </c>
      <c r="D15" s="12" t="str">
        <f>IFERROR(INDEX('Final Project Dataset'!$C$2:$C$251,MATCH($A15,'Final Project Dataset'!$T$2:$T$251,0)),"")</f>
        <v>Tablet</v>
      </c>
      <c r="E15" s="12">
        <f>IFERROR(INDEX('Final Project Dataset'!$D$2:$D$251,MATCH($A15,'Final Project Dataset'!$T$2:$T$251,0)),"")</f>
        <v>1</v>
      </c>
      <c r="F15" s="30">
        <f>IFERROR(INDEX('Final Project Dataset'!$F$2:$F$251,MATCH($A15,'Final Project Dataset'!$T$2:$T$251,0)),"")</f>
        <v>16634</v>
      </c>
      <c r="G15" s="12" t="str">
        <f>IFERROR(INDEX('Final Project Dataset'!$G$2:$G$251,MATCH($A15,'Final Project Dataset'!$T$2:$T$251,0)),"")</f>
        <v>Central</v>
      </c>
      <c r="H15" s="30">
        <f>IFERROR(INDEX('Final Project Dataset'!$H$2:$H$251,MATCH($A15,'Final Project Dataset'!$T$2:$T$251,0)),"")</f>
        <v>1651.06</v>
      </c>
      <c r="I15" s="12" t="str">
        <f>IFERROR(INDEX('Final Project Dataset'!$K$2:$K$251,MATCH($A15,'Final Project Dataset'!$T$2:$T$251,0)),"")</f>
        <v>Rohan Chauhan</v>
      </c>
    </row>
    <row r="16" spans="1:9" x14ac:dyDescent="0.3">
      <c r="A16" s="11">
        <v>7</v>
      </c>
      <c r="B16" s="12" t="str">
        <f>IFERROR(INDEX('Final Project Dataset'!$A$2:$A$251,MATCH($A16,'Final Project Dataset'!$T$2:$T$251,0)),"")</f>
        <v>T0051</v>
      </c>
      <c r="C16" s="37">
        <f>IFERROR(INDEX('Final Project Dataset'!$B$2:$B$251,MATCH($A16,'Final Project Dataset'!$T$2:$T$251,0)),"")</f>
        <v>45725</v>
      </c>
      <c r="D16" s="12" t="str">
        <f>IFERROR(INDEX('Final Project Dataset'!$C$2:$C$251,MATCH($A16,'Final Project Dataset'!$T$2:$T$251,0)),"")</f>
        <v>Tablet</v>
      </c>
      <c r="E16" s="12">
        <f>IFERROR(INDEX('Final Project Dataset'!$D$2:$D$251,MATCH($A16,'Final Project Dataset'!$T$2:$T$251,0)),"")</f>
        <v>3</v>
      </c>
      <c r="F16" s="30">
        <f>IFERROR(INDEX('Final Project Dataset'!$F$2:$F$251,MATCH($A16,'Final Project Dataset'!$T$2:$T$251,0)),"")</f>
        <v>48960</v>
      </c>
      <c r="G16" s="12" t="str">
        <f>IFERROR(INDEX('Final Project Dataset'!$G$2:$G$251,MATCH($A16,'Final Project Dataset'!$T$2:$T$251,0)),"")</f>
        <v>North</v>
      </c>
      <c r="H16" s="30">
        <f>IFERROR(INDEX('Final Project Dataset'!$H$2:$H$251,MATCH($A16,'Final Project Dataset'!$T$2:$T$251,0)),"")</f>
        <v>5703.16</v>
      </c>
      <c r="I16" s="12" t="str">
        <f>IFERROR(INDEX('Final Project Dataset'!$K$2:$K$251,MATCH($A16,'Final Project Dataset'!$T$2:$T$251,0)),"")</f>
        <v>Rohan Kapoor</v>
      </c>
    </row>
    <row r="17" spans="1:9" x14ac:dyDescent="0.3">
      <c r="A17" s="11">
        <v>8</v>
      </c>
      <c r="B17" s="12" t="str">
        <f>IFERROR(INDEX('Final Project Dataset'!$A$2:$A$251,MATCH($A17,'Final Project Dataset'!$T$2:$T$251,0)),"")</f>
        <v>T0054</v>
      </c>
      <c r="C17" s="37">
        <f>IFERROR(INDEX('Final Project Dataset'!$B$2:$B$251,MATCH($A17,'Final Project Dataset'!$T$2:$T$251,0)),"")</f>
        <v>45727</v>
      </c>
      <c r="D17" s="12" t="str">
        <f>IFERROR(INDEX('Final Project Dataset'!$C$2:$C$251,MATCH($A17,'Final Project Dataset'!$T$2:$T$251,0)),"")</f>
        <v>Tablet</v>
      </c>
      <c r="E17" s="12">
        <f>IFERROR(INDEX('Final Project Dataset'!$D$2:$D$251,MATCH($A17,'Final Project Dataset'!$T$2:$T$251,0)),"")</f>
        <v>2</v>
      </c>
      <c r="F17" s="30">
        <f>IFERROR(INDEX('Final Project Dataset'!$F$2:$F$251,MATCH($A17,'Final Project Dataset'!$T$2:$T$251,0)),"")</f>
        <v>39590</v>
      </c>
      <c r="G17" s="12" t="str">
        <f>IFERROR(INDEX('Final Project Dataset'!$G$2:$G$251,MATCH($A17,'Final Project Dataset'!$T$2:$T$251,0)),"")</f>
        <v>North</v>
      </c>
      <c r="H17" s="30">
        <f>IFERROR(INDEX('Final Project Dataset'!$H$2:$H$251,MATCH($A17,'Final Project Dataset'!$T$2:$T$251,0)),"")</f>
        <v>3959.71</v>
      </c>
      <c r="I17" s="12" t="str">
        <f>IFERROR(INDEX('Final Project Dataset'!$K$2:$K$251,MATCH($A17,'Final Project Dataset'!$T$2:$T$251,0)),"")</f>
        <v>Anjali Kapoor</v>
      </c>
    </row>
    <row r="18" spans="1:9" x14ac:dyDescent="0.3">
      <c r="A18" s="11">
        <v>9</v>
      </c>
      <c r="B18" s="12" t="str">
        <f>IFERROR(INDEX('Final Project Dataset'!$A$2:$A$251,MATCH($A18,'Final Project Dataset'!$T$2:$T$251,0)),"")</f>
        <v>T0092</v>
      </c>
      <c r="C18" s="37">
        <f>IFERROR(INDEX('Final Project Dataset'!$B$2:$B$251,MATCH($A18,'Final Project Dataset'!$T$2:$T$251,0)),"")</f>
        <v>45793</v>
      </c>
      <c r="D18" s="12" t="str">
        <f>IFERROR(INDEX('Final Project Dataset'!$C$2:$C$251,MATCH($A18,'Final Project Dataset'!$T$2:$T$251,0)),"")</f>
        <v>Tablet</v>
      </c>
      <c r="E18" s="12">
        <f>IFERROR(INDEX('Final Project Dataset'!$D$2:$D$251,MATCH($A18,'Final Project Dataset'!$T$2:$T$251,0)),"")</f>
        <v>4</v>
      </c>
      <c r="F18" s="30">
        <f>IFERROR(INDEX('Final Project Dataset'!$F$2:$F$251,MATCH($A18,'Final Project Dataset'!$T$2:$T$251,0)),"")</f>
        <v>66292</v>
      </c>
      <c r="G18" s="12" t="str">
        <f>IFERROR(INDEX('Final Project Dataset'!$G$2:$G$251,MATCH($A18,'Final Project Dataset'!$T$2:$T$251,0)),"")</f>
        <v>North</v>
      </c>
      <c r="H18" s="30">
        <f>IFERROR(INDEX('Final Project Dataset'!$H$2:$H$251,MATCH($A18,'Final Project Dataset'!$T$2:$T$251,0)),"")</f>
        <v>11124.64</v>
      </c>
      <c r="I18" s="12" t="str">
        <f>IFERROR(INDEX('Final Project Dataset'!$K$2:$K$251,MATCH($A18,'Final Project Dataset'!$T$2:$T$251,0)),"")</f>
        <v>Aditya Kapoor</v>
      </c>
    </row>
    <row r="19" spans="1:9" x14ac:dyDescent="0.3">
      <c r="A19" s="11">
        <v>10</v>
      </c>
      <c r="B19" s="12" t="str">
        <f>IFERROR(INDEX('Final Project Dataset'!$A$2:$A$251,MATCH($A19,'Final Project Dataset'!$T$2:$T$251,0)),"")</f>
        <v>T0099</v>
      </c>
      <c r="C19" s="37">
        <f>IFERROR(INDEX('Final Project Dataset'!$B$2:$B$251,MATCH($A19,'Final Project Dataset'!$T$2:$T$251,0)),"")</f>
        <v>45805</v>
      </c>
      <c r="D19" s="12" t="str">
        <f>IFERROR(INDEX('Final Project Dataset'!$C$2:$C$251,MATCH($A19,'Final Project Dataset'!$T$2:$T$251,0)),"")</f>
        <v>Tablet</v>
      </c>
      <c r="E19" s="12">
        <f>IFERROR(INDEX('Final Project Dataset'!$D$2:$D$251,MATCH($A19,'Final Project Dataset'!$T$2:$T$251,0)),"")</f>
        <v>2</v>
      </c>
      <c r="F19" s="30">
        <f>IFERROR(INDEX('Final Project Dataset'!$F$2:$F$251,MATCH($A19,'Final Project Dataset'!$T$2:$T$251,0)),"")</f>
        <v>38872</v>
      </c>
      <c r="G19" s="12" t="str">
        <f>IFERROR(INDEX('Final Project Dataset'!$G$2:$G$251,MATCH($A19,'Final Project Dataset'!$T$2:$T$251,0)),"")</f>
        <v>Central</v>
      </c>
      <c r="H19" s="30">
        <f>IFERROR(INDEX('Final Project Dataset'!$H$2:$H$251,MATCH($A19,'Final Project Dataset'!$T$2:$T$251,0)),"")</f>
        <v>4918.29</v>
      </c>
      <c r="I19" s="12" t="str">
        <f>IFERROR(INDEX('Final Project Dataset'!$K$2:$K$251,MATCH($A19,'Final Project Dataset'!$T$2:$T$251,0)),"")</f>
        <v>Ishita Iyer</v>
      </c>
    </row>
    <row r="20" spans="1:9" x14ac:dyDescent="0.3">
      <c r="A20" s="11">
        <v>11</v>
      </c>
      <c r="B20" s="12" t="str">
        <f>IFERROR(INDEX('Final Project Dataset'!$A$2:$A$251,MATCH($A20,'Final Project Dataset'!$T$2:$T$251,0)),"")</f>
        <v>T0118</v>
      </c>
      <c r="C20" s="37">
        <f>IFERROR(INDEX('Final Project Dataset'!$B$2:$B$251,MATCH($A20,'Final Project Dataset'!$T$2:$T$251,0)),"")</f>
        <v>45835</v>
      </c>
      <c r="D20" s="12" t="str">
        <f>IFERROR(INDEX('Final Project Dataset'!$C$2:$C$251,MATCH($A20,'Final Project Dataset'!$T$2:$T$251,0)),"")</f>
        <v>Tablet</v>
      </c>
      <c r="E20" s="12">
        <f>IFERROR(INDEX('Final Project Dataset'!$D$2:$D$251,MATCH($A20,'Final Project Dataset'!$T$2:$T$251,0)),"")</f>
        <v>1</v>
      </c>
      <c r="F20" s="30">
        <f>IFERROR(INDEX('Final Project Dataset'!$F$2:$F$251,MATCH($A20,'Final Project Dataset'!$T$2:$T$251,0)),"")</f>
        <v>17362</v>
      </c>
      <c r="G20" s="12" t="str">
        <f>IFERROR(INDEX('Final Project Dataset'!$G$2:$G$251,MATCH($A20,'Final Project Dataset'!$T$2:$T$251,0)),"")</f>
        <v>Central</v>
      </c>
      <c r="H20" s="30">
        <f>IFERROR(INDEX('Final Project Dataset'!$H$2:$H$251,MATCH($A20,'Final Project Dataset'!$T$2:$T$251,0)),"")</f>
        <v>2620.5</v>
      </c>
      <c r="I20" s="12" t="str">
        <f>IFERROR(INDEX('Final Project Dataset'!$K$2:$K$251,MATCH($A20,'Final Project Dataset'!$T$2:$T$251,0)),"")</f>
        <v>Riya Desai</v>
      </c>
    </row>
    <row r="21" spans="1:9" x14ac:dyDescent="0.3">
      <c r="A21" s="11">
        <v>12</v>
      </c>
      <c r="B21" s="12" t="str">
        <f>IFERROR(INDEX('Final Project Dataset'!$A$2:$A$251,MATCH($A21,'Final Project Dataset'!$T$2:$T$251,0)),"")</f>
        <v>T0135</v>
      </c>
      <c r="C21" s="37">
        <f>IFERROR(INDEX('Final Project Dataset'!$B$2:$B$251,MATCH($A21,'Final Project Dataset'!$T$2:$T$251,0)),"")</f>
        <v>45852</v>
      </c>
      <c r="D21" s="12" t="str">
        <f>IFERROR(INDEX('Final Project Dataset'!$C$2:$C$251,MATCH($A21,'Final Project Dataset'!$T$2:$T$251,0)),"")</f>
        <v>Tablet</v>
      </c>
      <c r="E21" s="12">
        <f>IFERROR(INDEX('Final Project Dataset'!$D$2:$D$251,MATCH($A21,'Final Project Dataset'!$T$2:$T$251,0)),"")</f>
        <v>1</v>
      </c>
      <c r="F21" s="30">
        <f>IFERROR(INDEX('Final Project Dataset'!$F$2:$F$251,MATCH($A21,'Final Project Dataset'!$T$2:$T$251,0)),"")</f>
        <v>16962</v>
      </c>
      <c r="G21" s="12" t="str">
        <f>IFERROR(INDEX('Final Project Dataset'!$G$2:$G$251,MATCH($A21,'Final Project Dataset'!$T$2:$T$251,0)),"")</f>
        <v>East</v>
      </c>
      <c r="H21" s="30">
        <f>IFERROR(INDEX('Final Project Dataset'!$H$2:$H$251,MATCH($A21,'Final Project Dataset'!$T$2:$T$251,0)),"")</f>
        <v>1911.36</v>
      </c>
      <c r="I21" s="12" t="str">
        <f>IFERROR(INDEX('Final Project Dataset'!$K$2:$K$251,MATCH($A21,'Final Project Dataset'!$T$2:$T$251,0)),"")</f>
        <v>Amit Iyer</v>
      </c>
    </row>
    <row r="22" spans="1:9" x14ac:dyDescent="0.3">
      <c r="A22" s="11">
        <v>13</v>
      </c>
      <c r="B22" s="12" t="str">
        <f>IFERROR(INDEX('Final Project Dataset'!$A$2:$A$251,MATCH($A22,'Final Project Dataset'!$T$2:$T$251,0)),"")</f>
        <v>T0149</v>
      </c>
      <c r="C22" s="37">
        <f>IFERROR(INDEX('Final Project Dataset'!$B$2:$B$251,MATCH($A22,'Final Project Dataset'!$T$2:$T$251,0)),"")</f>
        <v>45871</v>
      </c>
      <c r="D22" s="12" t="str">
        <f>IFERROR(INDEX('Final Project Dataset'!$C$2:$C$251,MATCH($A22,'Final Project Dataset'!$T$2:$T$251,0)),"")</f>
        <v>Tablet</v>
      </c>
      <c r="E22" s="12">
        <f>IFERROR(INDEX('Final Project Dataset'!$D$2:$D$251,MATCH($A22,'Final Project Dataset'!$T$2:$T$251,0)),"")</f>
        <v>1</v>
      </c>
      <c r="F22" s="30">
        <f>IFERROR(INDEX('Final Project Dataset'!$F$2:$F$251,MATCH($A22,'Final Project Dataset'!$T$2:$T$251,0)),"")</f>
        <v>17093</v>
      </c>
      <c r="G22" s="12" t="str">
        <f>IFERROR(INDEX('Final Project Dataset'!$G$2:$G$251,MATCH($A22,'Final Project Dataset'!$T$2:$T$251,0)),"")</f>
        <v>Central</v>
      </c>
      <c r="H22" s="30">
        <f>IFERROR(INDEX('Final Project Dataset'!$H$2:$H$251,MATCH($A22,'Final Project Dataset'!$T$2:$T$251,0)),"")</f>
        <v>2321.35</v>
      </c>
      <c r="I22" s="12" t="str">
        <f>IFERROR(INDEX('Final Project Dataset'!$K$2:$K$251,MATCH($A22,'Final Project Dataset'!$T$2:$T$251,0)),"")</f>
        <v>Rahul Singh</v>
      </c>
    </row>
    <row r="23" spans="1:9" x14ac:dyDescent="0.3">
      <c r="A23" s="11">
        <v>14</v>
      </c>
      <c r="B23" s="12" t="str">
        <f>IFERROR(INDEX('Final Project Dataset'!$A$2:$A$251,MATCH($A23,'Final Project Dataset'!$T$2:$T$251,0)),"")</f>
        <v>T0153</v>
      </c>
      <c r="C23" s="37">
        <f>IFERROR(INDEX('Final Project Dataset'!$B$2:$B$251,MATCH($A23,'Final Project Dataset'!$T$2:$T$251,0)),"")</f>
        <v>45874</v>
      </c>
      <c r="D23" s="12" t="str">
        <f>IFERROR(INDEX('Final Project Dataset'!$C$2:$C$251,MATCH($A23,'Final Project Dataset'!$T$2:$T$251,0)),"")</f>
        <v>Tablet</v>
      </c>
      <c r="E23" s="12">
        <f>IFERROR(INDEX('Final Project Dataset'!$D$2:$D$251,MATCH($A23,'Final Project Dataset'!$T$2:$T$251,0)),"")</f>
        <v>4</v>
      </c>
      <c r="F23" s="30">
        <f>IFERROR(INDEX('Final Project Dataset'!$F$2:$F$251,MATCH($A23,'Final Project Dataset'!$T$2:$T$251,0)),"")</f>
        <v>76984</v>
      </c>
      <c r="G23" s="12" t="str">
        <f>IFERROR(INDEX('Final Project Dataset'!$G$2:$G$251,MATCH($A23,'Final Project Dataset'!$T$2:$T$251,0)),"")</f>
        <v>East</v>
      </c>
      <c r="H23" s="30">
        <f>IFERROR(INDEX('Final Project Dataset'!$H$2:$H$251,MATCH($A23,'Final Project Dataset'!$T$2:$T$251,0)),"")</f>
        <v>6869.27</v>
      </c>
      <c r="I23" s="12" t="str">
        <f>IFERROR(INDEX('Final Project Dataset'!$K$2:$K$251,MATCH($A23,'Final Project Dataset'!$T$2:$T$251,0)),"")</f>
        <v>Riya Shah</v>
      </c>
    </row>
    <row r="24" spans="1:9" x14ac:dyDescent="0.3">
      <c r="A24" s="11">
        <v>15</v>
      </c>
      <c r="B24" s="12" t="str">
        <f>IFERROR(INDEX('Final Project Dataset'!$A$2:$A$251,MATCH($A24,'Final Project Dataset'!$T$2:$T$251,0)),"")</f>
        <v>T0164</v>
      </c>
      <c r="C24" s="37">
        <f>IFERROR(INDEX('Final Project Dataset'!$B$2:$B$251,MATCH($A24,'Final Project Dataset'!$T$2:$T$251,0)),"")</f>
        <v>45885</v>
      </c>
      <c r="D24" s="12" t="str">
        <f>IFERROR(INDEX('Final Project Dataset'!$C$2:$C$251,MATCH($A24,'Final Project Dataset'!$T$2:$T$251,0)),"")</f>
        <v>Tablet</v>
      </c>
      <c r="E24" s="12">
        <f>IFERROR(INDEX('Final Project Dataset'!$D$2:$D$251,MATCH($A24,'Final Project Dataset'!$T$2:$T$251,0)),"")</f>
        <v>1</v>
      </c>
      <c r="F24" s="30">
        <f>IFERROR(INDEX('Final Project Dataset'!$F$2:$F$251,MATCH($A24,'Final Project Dataset'!$T$2:$T$251,0)),"")</f>
        <v>18784</v>
      </c>
      <c r="G24" s="12" t="str">
        <f>IFERROR(INDEX('Final Project Dataset'!$G$2:$G$251,MATCH($A24,'Final Project Dataset'!$T$2:$T$251,0)),"")</f>
        <v>East</v>
      </c>
      <c r="H24" s="30">
        <f>IFERROR(INDEX('Final Project Dataset'!$H$2:$H$251,MATCH($A24,'Final Project Dataset'!$T$2:$T$251,0)),"")</f>
        <v>1815.75</v>
      </c>
      <c r="I24" s="12" t="str">
        <f>IFERROR(INDEX('Final Project Dataset'!$K$2:$K$251,MATCH($A24,'Final Project Dataset'!$T$2:$T$251,0)),"")</f>
        <v>Anjali Kapoor</v>
      </c>
    </row>
    <row r="25" spans="1:9" x14ac:dyDescent="0.3">
      <c r="A25" s="11">
        <v>16</v>
      </c>
      <c r="B25" s="12" t="str">
        <f>IFERROR(INDEX('Final Project Dataset'!$A$2:$A$251,MATCH($A25,'Final Project Dataset'!$T$2:$T$251,0)),"")</f>
        <v>T0166</v>
      </c>
      <c r="C25" s="37">
        <f>IFERROR(INDEX('Final Project Dataset'!$B$2:$B$251,MATCH($A25,'Final Project Dataset'!$T$2:$T$251,0)),"")</f>
        <v>45890</v>
      </c>
      <c r="D25" s="12" t="str">
        <f>IFERROR(INDEX('Final Project Dataset'!$C$2:$C$251,MATCH($A25,'Final Project Dataset'!$T$2:$T$251,0)),"")</f>
        <v>Tablet</v>
      </c>
      <c r="E25" s="12">
        <f>IFERROR(INDEX('Final Project Dataset'!$D$2:$D$251,MATCH($A25,'Final Project Dataset'!$T$2:$T$251,0)),"")</f>
        <v>1</v>
      </c>
      <c r="F25" s="30">
        <f>IFERROR(INDEX('Final Project Dataset'!$F$2:$F$251,MATCH($A25,'Final Project Dataset'!$T$2:$T$251,0)),"")</f>
        <v>17237</v>
      </c>
      <c r="G25" s="12" t="str">
        <f>IFERROR(INDEX('Final Project Dataset'!$G$2:$G$251,MATCH($A25,'Final Project Dataset'!$T$2:$T$251,0)),"")</f>
        <v>North</v>
      </c>
      <c r="H25" s="30">
        <f>IFERROR(INDEX('Final Project Dataset'!$H$2:$H$251,MATCH($A25,'Final Project Dataset'!$T$2:$T$251,0)),"")</f>
        <v>1866.28</v>
      </c>
      <c r="I25" s="12" t="str">
        <f>IFERROR(INDEX('Final Project Dataset'!$K$2:$K$251,MATCH($A25,'Final Project Dataset'!$T$2:$T$251,0)),"")</f>
        <v>Anjali Patel</v>
      </c>
    </row>
    <row r="26" spans="1:9" x14ac:dyDescent="0.3">
      <c r="A26" s="11">
        <v>17</v>
      </c>
      <c r="B26" s="12" t="str">
        <f>IFERROR(INDEX('Final Project Dataset'!$A$2:$A$251,MATCH($A26,'Final Project Dataset'!$T$2:$T$251,0)),"")</f>
        <v>T0217</v>
      </c>
      <c r="C26" s="37">
        <f>IFERROR(INDEX('Final Project Dataset'!$B$2:$B$251,MATCH($A26,'Final Project Dataset'!$T$2:$T$251,0)),"")</f>
        <v>45978</v>
      </c>
      <c r="D26" s="12" t="str">
        <f>IFERROR(INDEX('Final Project Dataset'!$C$2:$C$251,MATCH($A26,'Final Project Dataset'!$T$2:$T$251,0)),"")</f>
        <v>Tablet</v>
      </c>
      <c r="E26" s="12">
        <f>IFERROR(INDEX('Final Project Dataset'!$D$2:$D$251,MATCH($A26,'Final Project Dataset'!$T$2:$T$251,0)),"")</f>
        <v>1</v>
      </c>
      <c r="F26" s="30">
        <f>IFERROR(INDEX('Final Project Dataset'!$F$2:$F$251,MATCH($A26,'Final Project Dataset'!$T$2:$T$251,0)),"")</f>
        <v>19643</v>
      </c>
      <c r="G26" s="12" t="str">
        <f>IFERROR(INDEX('Final Project Dataset'!$G$2:$G$251,MATCH($A26,'Final Project Dataset'!$T$2:$T$251,0)),"")</f>
        <v>East</v>
      </c>
      <c r="H26" s="30">
        <f>IFERROR(INDEX('Final Project Dataset'!$H$2:$H$251,MATCH($A26,'Final Project Dataset'!$T$2:$T$251,0)),"")</f>
        <v>2110.54</v>
      </c>
      <c r="I26" s="12" t="str">
        <f>IFERROR(INDEX('Final Project Dataset'!$K$2:$K$251,MATCH($A26,'Final Project Dataset'!$T$2:$T$251,0)),"")</f>
        <v>Kavya Mehta</v>
      </c>
    </row>
    <row r="27" spans="1:9" x14ac:dyDescent="0.3">
      <c r="A27" s="11">
        <v>18</v>
      </c>
      <c r="B27" s="12" t="str">
        <f>IFERROR(INDEX('Final Project Dataset'!$A$2:$A$251,MATCH($A27,'Final Project Dataset'!$T$2:$T$251,0)),"")</f>
        <v>T0222</v>
      </c>
      <c r="C27" s="37">
        <f>IFERROR(INDEX('Final Project Dataset'!$B$2:$B$251,MATCH($A27,'Final Project Dataset'!$T$2:$T$251,0)),"")</f>
        <v>45985</v>
      </c>
      <c r="D27" s="12" t="str">
        <f>IFERROR(INDEX('Final Project Dataset'!$C$2:$C$251,MATCH($A27,'Final Project Dataset'!$T$2:$T$251,0)),"")</f>
        <v>Tablet</v>
      </c>
      <c r="E27" s="12">
        <f>IFERROR(INDEX('Final Project Dataset'!$D$2:$D$251,MATCH($A27,'Final Project Dataset'!$T$2:$T$251,0)),"")</f>
        <v>2</v>
      </c>
      <c r="F27" s="30">
        <f>IFERROR(INDEX('Final Project Dataset'!$F$2:$F$251,MATCH($A27,'Final Project Dataset'!$T$2:$T$251,0)),"")</f>
        <v>37922</v>
      </c>
      <c r="G27" s="12" t="str">
        <f>IFERROR(INDEX('Final Project Dataset'!$G$2:$G$251,MATCH($A27,'Final Project Dataset'!$T$2:$T$251,0)),"")</f>
        <v>North</v>
      </c>
      <c r="H27" s="30">
        <f>IFERROR(INDEX('Final Project Dataset'!$H$2:$H$251,MATCH($A27,'Final Project Dataset'!$T$2:$T$251,0)),"")</f>
        <v>4613.54</v>
      </c>
      <c r="I27" s="12" t="str">
        <f>IFERROR(INDEX('Final Project Dataset'!$K$2:$K$251,MATCH($A27,'Final Project Dataset'!$T$2:$T$251,0)),"")</f>
        <v>Pooja Mehta</v>
      </c>
    </row>
    <row r="28" spans="1:9" x14ac:dyDescent="0.3">
      <c r="A28" s="11">
        <v>19</v>
      </c>
      <c r="B28" s="12" t="str">
        <f>IFERROR(INDEX('Final Project Dataset'!$A$2:$A$251,MATCH($A28,'Final Project Dataset'!$T$2:$T$251,0)),"")</f>
        <v>T0234</v>
      </c>
      <c r="C28" s="37">
        <f>IFERROR(INDEX('Final Project Dataset'!$B$2:$B$251,MATCH($A28,'Final Project Dataset'!$T$2:$T$251,0)),"")</f>
        <v>45995</v>
      </c>
      <c r="D28" s="12" t="str">
        <f>IFERROR(INDEX('Final Project Dataset'!$C$2:$C$251,MATCH($A28,'Final Project Dataset'!$T$2:$T$251,0)),"")</f>
        <v>Tablet</v>
      </c>
      <c r="E28" s="12">
        <f>IFERROR(INDEX('Final Project Dataset'!$D$2:$D$251,MATCH($A28,'Final Project Dataset'!$T$2:$T$251,0)),"")</f>
        <v>5</v>
      </c>
      <c r="F28" s="30">
        <f>IFERROR(INDEX('Final Project Dataset'!$F$2:$F$251,MATCH($A28,'Final Project Dataset'!$T$2:$T$251,0)),"")</f>
        <v>86315</v>
      </c>
      <c r="G28" s="12" t="str">
        <f>IFERROR(INDEX('Final Project Dataset'!$G$2:$G$251,MATCH($A28,'Final Project Dataset'!$T$2:$T$251,0)),"")</f>
        <v>West</v>
      </c>
      <c r="H28" s="30">
        <f>IFERROR(INDEX('Final Project Dataset'!$H$2:$H$251,MATCH($A28,'Final Project Dataset'!$T$2:$T$251,0)),"")</f>
        <v>15346.33</v>
      </c>
      <c r="I28" s="12" t="str">
        <f>IFERROR(INDEX('Final Project Dataset'!$K$2:$K$251,MATCH($A28,'Final Project Dataset'!$T$2:$T$251,0)),"")</f>
        <v>Karan Iyer</v>
      </c>
    </row>
    <row r="29" spans="1:9" x14ac:dyDescent="0.3">
      <c r="A29" s="11">
        <v>20</v>
      </c>
      <c r="B29" s="12" t="str">
        <f>IFERROR(INDEX('Final Project Dataset'!$A$2:$A$251,MATCH($A29,'Final Project Dataset'!$T$2:$T$251,0)),"")</f>
        <v>T0241</v>
      </c>
      <c r="C29" s="37">
        <f>IFERROR(INDEX('Final Project Dataset'!$B$2:$B$251,MATCH($A29,'Final Project Dataset'!$T$2:$T$251,0)),"")</f>
        <v>46008</v>
      </c>
      <c r="D29" s="12" t="str">
        <f>IFERROR(INDEX('Final Project Dataset'!$C$2:$C$251,MATCH($A29,'Final Project Dataset'!$T$2:$T$251,0)),"")</f>
        <v>Tablet</v>
      </c>
      <c r="E29" s="12">
        <f>IFERROR(INDEX('Final Project Dataset'!$D$2:$D$251,MATCH($A29,'Final Project Dataset'!$T$2:$T$251,0)),"")</f>
        <v>2</v>
      </c>
      <c r="F29" s="30">
        <f>IFERROR(INDEX('Final Project Dataset'!$F$2:$F$251,MATCH($A29,'Final Project Dataset'!$T$2:$T$251,0)),"")</f>
        <v>34576</v>
      </c>
      <c r="G29" s="12" t="str">
        <f>IFERROR(INDEX('Final Project Dataset'!$G$2:$G$251,MATCH($A29,'Final Project Dataset'!$T$2:$T$251,0)),"")</f>
        <v>West</v>
      </c>
      <c r="H29" s="30">
        <f>IFERROR(INDEX('Final Project Dataset'!$H$2:$H$251,MATCH($A29,'Final Project Dataset'!$T$2:$T$251,0)),"")</f>
        <v>3612.77</v>
      </c>
      <c r="I29" s="12" t="str">
        <f>IFERROR(INDEX('Final Project Dataset'!$K$2:$K$251,MATCH($A29,'Final Project Dataset'!$T$2:$T$251,0)),"")</f>
        <v>Pooja Bhatt</v>
      </c>
    </row>
    <row r="30" spans="1:9" x14ac:dyDescent="0.3">
      <c r="A30" s="11">
        <v>21</v>
      </c>
      <c r="B30" s="12" t="str">
        <f>IFERROR(INDEX('Final Project Dataset'!$A$2:$A$251,MATCH($A30,'Final Project Dataset'!$T$2:$T$251,0)),"")</f>
        <v>T0245</v>
      </c>
      <c r="C30" s="37">
        <f>IFERROR(INDEX('Final Project Dataset'!$B$2:$B$251,MATCH($A30,'Final Project Dataset'!$T$2:$T$251,0)),"")</f>
        <v>46014</v>
      </c>
      <c r="D30" s="12" t="str">
        <f>IFERROR(INDEX('Final Project Dataset'!$C$2:$C$251,MATCH($A30,'Final Project Dataset'!$T$2:$T$251,0)),"")</f>
        <v>Tablet</v>
      </c>
      <c r="E30" s="12">
        <f>IFERROR(INDEX('Final Project Dataset'!$D$2:$D$251,MATCH($A30,'Final Project Dataset'!$T$2:$T$251,0)),"")</f>
        <v>2</v>
      </c>
      <c r="F30" s="30">
        <f>IFERROR(INDEX('Final Project Dataset'!$F$2:$F$251,MATCH($A30,'Final Project Dataset'!$T$2:$T$251,0)),"")</f>
        <v>37202</v>
      </c>
      <c r="G30" s="12" t="str">
        <f>IFERROR(INDEX('Final Project Dataset'!$G$2:$G$251,MATCH($A30,'Final Project Dataset'!$T$2:$T$251,0)),"")</f>
        <v>East</v>
      </c>
      <c r="H30" s="30">
        <f>IFERROR(INDEX('Final Project Dataset'!$H$2:$H$251,MATCH($A30,'Final Project Dataset'!$T$2:$T$251,0)),"")</f>
        <v>4189.63</v>
      </c>
      <c r="I30" s="12" t="str">
        <f>IFERROR(INDEX('Final Project Dataset'!$K$2:$K$251,MATCH($A30,'Final Project Dataset'!$T$2:$T$251,0)),"")</f>
        <v>Neha Gupta</v>
      </c>
    </row>
    <row r="31" spans="1:9" x14ac:dyDescent="0.3">
      <c r="A31" s="11">
        <v>22</v>
      </c>
      <c r="B31" s="12" t="str">
        <f>IFERROR(INDEX('Final Project Dataset'!$A$2:$A$251,MATCH($A31,'Final Project Dataset'!$T$2:$T$251,0)),"")</f>
        <v>T0248</v>
      </c>
      <c r="C31" s="37">
        <f>IFERROR(INDEX('Final Project Dataset'!$B$2:$B$251,MATCH($A31,'Final Project Dataset'!$T$2:$T$251,0)),"")</f>
        <v>46015</v>
      </c>
      <c r="D31" s="12" t="str">
        <f>IFERROR(INDEX('Final Project Dataset'!$C$2:$C$251,MATCH($A31,'Final Project Dataset'!$T$2:$T$251,0)),"")</f>
        <v>Tablet</v>
      </c>
      <c r="E31" s="12">
        <f>IFERROR(INDEX('Final Project Dataset'!$D$2:$D$251,MATCH($A31,'Final Project Dataset'!$T$2:$T$251,0)),"")</f>
        <v>2</v>
      </c>
      <c r="F31" s="30">
        <f>IFERROR(INDEX('Final Project Dataset'!$F$2:$F$251,MATCH($A31,'Final Project Dataset'!$T$2:$T$251,0)),"")</f>
        <v>39080</v>
      </c>
      <c r="G31" s="12" t="str">
        <f>IFERROR(INDEX('Final Project Dataset'!$G$2:$G$251,MATCH($A31,'Final Project Dataset'!$T$2:$T$251,0)),"")</f>
        <v>West</v>
      </c>
      <c r="H31" s="30">
        <f>IFERROR(INDEX('Final Project Dataset'!$H$2:$H$251,MATCH($A31,'Final Project Dataset'!$T$2:$T$251,0)),"")</f>
        <v>4838.5600000000004</v>
      </c>
      <c r="I31" s="12" t="str">
        <f>IFERROR(INDEX('Final Project Dataset'!$K$2:$K$251,MATCH($A31,'Final Project Dataset'!$T$2:$T$251,0)),"")</f>
        <v>Ishita Verma</v>
      </c>
    </row>
    <row r="32" spans="1:9" x14ac:dyDescent="0.3">
      <c r="A32" s="11">
        <v>23</v>
      </c>
      <c r="B32" s="12" t="str">
        <f>IFERROR(INDEX('Final Project Dataset'!$A$2:$A$251,MATCH($A32,'Final Project Dataset'!$T$2:$T$251,0)),"")</f>
        <v/>
      </c>
      <c r="C32" s="37" t="str">
        <f>IFERROR(INDEX('Final Project Dataset'!$B$2:$B$251,MATCH($A32,'Final Project Dataset'!$T$2:$T$251,0)),"")</f>
        <v/>
      </c>
      <c r="D32" s="12" t="str">
        <f>IFERROR(INDEX('Final Project Dataset'!$C$2:$C$251,MATCH($A32,'Final Project Dataset'!$T$2:$T$251,0)),"")</f>
        <v/>
      </c>
      <c r="E32" s="12" t="str">
        <f>IFERROR(INDEX('Final Project Dataset'!$D$2:$D$251,MATCH($A32,'Final Project Dataset'!$T$2:$T$251,0)),"")</f>
        <v/>
      </c>
      <c r="F32" s="30" t="str">
        <f>IFERROR(INDEX('Final Project Dataset'!$F$2:$F$251,MATCH($A32,'Final Project Dataset'!$T$2:$T$251,0)),"")</f>
        <v/>
      </c>
      <c r="G32" s="12" t="str">
        <f>IFERROR(INDEX('Final Project Dataset'!$G$2:$G$251,MATCH($A32,'Final Project Dataset'!$T$2:$T$251,0)),"")</f>
        <v/>
      </c>
      <c r="H32" s="30" t="str">
        <f>IFERROR(INDEX('Final Project Dataset'!$H$2:$H$251,MATCH($A32,'Final Project Dataset'!$T$2:$T$251,0)),"")</f>
        <v/>
      </c>
      <c r="I32" s="12" t="str">
        <f>IFERROR(INDEX('Final Project Dataset'!$K$2:$K$251,MATCH($A32,'Final Project Dataset'!$T$2:$T$251,0)),"")</f>
        <v/>
      </c>
    </row>
    <row r="33" spans="1:9" x14ac:dyDescent="0.3">
      <c r="A33" s="11">
        <v>24</v>
      </c>
      <c r="B33" s="12" t="str">
        <f>IFERROR(INDEX('Final Project Dataset'!$A$2:$A$251,MATCH($A33,'Final Project Dataset'!$T$2:$T$251,0)),"")</f>
        <v/>
      </c>
      <c r="C33" s="37" t="str">
        <f>IFERROR(INDEX('Final Project Dataset'!$B$2:$B$251,MATCH($A33,'Final Project Dataset'!$T$2:$T$251,0)),"")</f>
        <v/>
      </c>
      <c r="D33" s="12" t="str">
        <f>IFERROR(INDEX('Final Project Dataset'!$C$2:$C$251,MATCH($A33,'Final Project Dataset'!$T$2:$T$251,0)),"")</f>
        <v/>
      </c>
      <c r="E33" s="12" t="str">
        <f>IFERROR(INDEX('Final Project Dataset'!$D$2:$D$251,MATCH($A33,'Final Project Dataset'!$T$2:$T$251,0)),"")</f>
        <v/>
      </c>
      <c r="F33" s="30" t="str">
        <f>IFERROR(INDEX('Final Project Dataset'!$F$2:$F$251,MATCH($A33,'Final Project Dataset'!$T$2:$T$251,0)),"")</f>
        <v/>
      </c>
      <c r="G33" s="12" t="str">
        <f>IFERROR(INDEX('Final Project Dataset'!$G$2:$G$251,MATCH($A33,'Final Project Dataset'!$T$2:$T$251,0)),"")</f>
        <v/>
      </c>
      <c r="H33" s="30" t="str">
        <f>IFERROR(INDEX('Final Project Dataset'!$H$2:$H$251,MATCH($A33,'Final Project Dataset'!$T$2:$T$251,0)),"")</f>
        <v/>
      </c>
      <c r="I33" s="12" t="str">
        <f>IFERROR(INDEX('Final Project Dataset'!$K$2:$K$251,MATCH($A33,'Final Project Dataset'!$T$2:$T$251,0)),"")</f>
        <v/>
      </c>
    </row>
    <row r="34" spans="1:9" x14ac:dyDescent="0.3">
      <c r="A34" s="11">
        <v>25</v>
      </c>
      <c r="B34" s="12" t="str">
        <f>IFERROR(INDEX('Final Project Dataset'!$A$2:$A$251,MATCH($A34,'Final Project Dataset'!$T$2:$T$251,0)),"")</f>
        <v/>
      </c>
      <c r="C34" s="37" t="str">
        <f>IFERROR(INDEX('Final Project Dataset'!$B$2:$B$251,MATCH($A34,'Final Project Dataset'!$T$2:$T$251,0)),"")</f>
        <v/>
      </c>
      <c r="D34" s="12" t="str">
        <f>IFERROR(INDEX('Final Project Dataset'!$C$2:$C$251,MATCH($A34,'Final Project Dataset'!$T$2:$T$251,0)),"")</f>
        <v/>
      </c>
      <c r="E34" s="12" t="str">
        <f>IFERROR(INDEX('Final Project Dataset'!$D$2:$D$251,MATCH($A34,'Final Project Dataset'!$T$2:$T$251,0)),"")</f>
        <v/>
      </c>
      <c r="F34" s="30" t="str">
        <f>IFERROR(INDEX('Final Project Dataset'!$F$2:$F$251,MATCH($A34,'Final Project Dataset'!$T$2:$T$251,0)),"")</f>
        <v/>
      </c>
      <c r="G34" s="12" t="str">
        <f>IFERROR(INDEX('Final Project Dataset'!$G$2:$G$251,MATCH($A34,'Final Project Dataset'!$T$2:$T$251,0)),"")</f>
        <v/>
      </c>
      <c r="H34" s="30" t="str">
        <f>IFERROR(INDEX('Final Project Dataset'!$H$2:$H$251,MATCH($A34,'Final Project Dataset'!$T$2:$T$251,0)),"")</f>
        <v/>
      </c>
      <c r="I34" s="12" t="str">
        <f>IFERROR(INDEX('Final Project Dataset'!$K$2:$K$251,MATCH($A34,'Final Project Dataset'!$T$2:$T$251,0)),"")</f>
        <v/>
      </c>
    </row>
  </sheetData>
  <mergeCells count="1">
    <mergeCell ref="A1:I1"/>
  </mergeCells>
  <dataValidations count="2">
    <dataValidation type="list" sqref="B3" xr:uid="{00000000-0002-0000-0400-000000000000}">
      <formula1>"All,North,South,East,West,Central"</formula1>
      <formula2>0</formula2>
    </dataValidation>
    <dataValidation type="list" sqref="B4" xr:uid="{00000000-0002-0000-0400-000001000000}">
      <formula1>"All,Laptop,Smartphone,Monitor,Tablet,Smartwatch,Printer,Headphones,Webcam,Keyboard,Mouse"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Q86"/>
  <sheetViews>
    <sheetView zoomScaleNormal="100" workbookViewId="0">
      <pane ySplit="7" topLeftCell="A8" activePane="bottomLeft" state="frozen"/>
      <selection pane="bottomLeft" activeCell="N9" sqref="N9"/>
    </sheetView>
  </sheetViews>
  <sheetFormatPr defaultColWidth="8.6640625" defaultRowHeight="14.4" x14ac:dyDescent="0.3"/>
  <cols>
    <col min="1" max="1" width="16" customWidth="1"/>
    <col min="2" max="2" width="18" customWidth="1"/>
    <col min="3" max="3" width="13" customWidth="1"/>
    <col min="4" max="5" width="15" customWidth="1"/>
    <col min="6" max="6" width="13" customWidth="1"/>
    <col min="7" max="8" width="14" customWidth="1"/>
    <col min="9" max="9" width="7" customWidth="1"/>
    <col min="10" max="11" width="12" customWidth="1"/>
    <col min="12" max="12" width="3" customWidth="1"/>
    <col min="13" max="13" width="7" customWidth="1"/>
    <col min="14" max="14" width="18" customWidth="1"/>
    <col min="15" max="16" width="14" customWidth="1"/>
    <col min="17" max="17" width="7" customWidth="1"/>
  </cols>
  <sheetData>
    <row r="1" spans="1:17" ht="30" customHeight="1" x14ac:dyDescent="0.3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4" t="s">
        <v>520</v>
      </c>
    </row>
    <row r="3" spans="1:17" x14ac:dyDescent="0.3">
      <c r="A3" s="5" t="s">
        <v>521</v>
      </c>
      <c r="B3" s="38">
        <v>0.8</v>
      </c>
      <c r="D3" s="5" t="s">
        <v>522</v>
      </c>
      <c r="E3" s="5">
        <f>COUNTIF($J$8:$J$86,"High-Value")</f>
        <v>16</v>
      </c>
    </row>
    <row r="4" spans="1:17" x14ac:dyDescent="0.3">
      <c r="A4" s="5" t="s">
        <v>523</v>
      </c>
      <c r="B4" s="39">
        <f>PERCENTILE($D$8:$D$86,B3)</f>
        <v>100178.40000000002</v>
      </c>
      <c r="D4" s="5" t="s">
        <v>524</v>
      </c>
      <c r="E4" s="40">
        <f>SUMIF($J$8:$J$86,"High-Value",$D$8:$D$86)/SUM($D$8:$D$86)</f>
        <v>0.46198603472827049</v>
      </c>
    </row>
    <row r="6" spans="1:17" x14ac:dyDescent="0.3">
      <c r="M6" s="5" t="s">
        <v>525</v>
      </c>
    </row>
    <row r="7" spans="1:17" ht="31.5" customHeight="1" x14ac:dyDescent="0.3">
      <c r="A7" s="8" t="s">
        <v>526</v>
      </c>
      <c r="B7" s="8" t="s">
        <v>527</v>
      </c>
      <c r="C7" s="8" t="s">
        <v>17</v>
      </c>
      <c r="D7" s="8" t="s">
        <v>528</v>
      </c>
      <c r="E7" s="8" t="s">
        <v>529</v>
      </c>
      <c r="F7" s="8" t="s">
        <v>530</v>
      </c>
      <c r="G7" s="8" t="s">
        <v>531</v>
      </c>
      <c r="H7" s="8" t="s">
        <v>532</v>
      </c>
      <c r="I7" s="8" t="s">
        <v>533</v>
      </c>
      <c r="J7" s="8" t="s">
        <v>534</v>
      </c>
      <c r="K7" s="8" t="s">
        <v>535</v>
      </c>
      <c r="M7" s="8" t="s">
        <v>533</v>
      </c>
      <c r="N7" s="8" t="s">
        <v>11</v>
      </c>
      <c r="O7" s="8" t="s">
        <v>12</v>
      </c>
      <c r="P7" s="8" t="s">
        <v>13</v>
      </c>
      <c r="Q7" s="8" t="s">
        <v>14</v>
      </c>
    </row>
    <row r="8" spans="1:17" x14ac:dyDescent="0.3">
      <c r="A8" s="22" t="s">
        <v>219</v>
      </c>
      <c r="B8" s="22" t="str">
        <f>INDEX('Final Project Dataset'!$K$2:$K$251,MATCH(A8,'Final Project Dataset'!$I$2:$I$251,0))</f>
        <v>Rahul Joshi</v>
      </c>
      <c r="C8" s="29">
        <f>COUNTIF('Final Project Dataset'!$I$2:$I$251,A8)</f>
        <v>1</v>
      </c>
      <c r="D8" s="41">
        <f>SUMIF('Final Project Dataset'!$I$2:$I$251,A8,'Final Project Dataset'!$F$2:$F$251)</f>
        <v>17002</v>
      </c>
      <c r="E8" s="41">
        <f>SUMIF('Final Project Dataset'!$I$2:$I$251,A8,'Final Project Dataset'!$H$2:$H$251)</f>
        <v>2606.4</v>
      </c>
      <c r="F8" s="41">
        <f t="shared" ref="F8:F39" si="0">D8/C8</f>
        <v>17002</v>
      </c>
      <c r="G8" s="27">
        <f>_xlfn.MAXIFS('Final Project Dataset'!$B$2:$B$251,'Final Project Dataset'!$I$2:$I$251,A8)</f>
        <v>45733</v>
      </c>
      <c r="H8" s="23">
        <f t="shared" ref="H8:H39" ca="1" si="1">TODAY()-G8</f>
        <v>592</v>
      </c>
      <c r="I8" s="29">
        <f t="shared" ref="I8:I39" si="2">RANK(D8,$D$8:$D$86)</f>
        <v>71</v>
      </c>
      <c r="J8" s="22" t="str">
        <f t="shared" ref="J8:J39" si="3">IF(D8&gt;=$B$4,"High-Value",IF(D8&gt;=PERCENTILE($D$8:$D$86,0.5),"Mid-Value","Standard"))</f>
        <v>Standard</v>
      </c>
      <c r="K8" s="42">
        <f t="shared" ref="K8:K39" si="4">D8+ROW()/1000000</f>
        <v>17002.000007999999</v>
      </c>
      <c r="M8" s="43">
        <v>1</v>
      </c>
      <c r="N8" s="22" t="str">
        <f>INDEX($B$8:$B$86,MATCH(LARGE($K$8:$K$86,$M8),$K$8:$K$86,0))</f>
        <v>Aditya Kapoor</v>
      </c>
      <c r="O8" s="41">
        <f t="shared" ref="O8:O17" si="5">INDEX($D$8:$D$86,MATCH(LARGE($K$8:$K$86,$M8),$K$8:$K$86,0))</f>
        <v>321673</v>
      </c>
      <c r="P8" s="41">
        <f t="shared" ref="P8:P17" si="6">INDEX($E$8:$E$86,MATCH(LARGE($K$8:$K$86,$M8),$K$8:$K$86,0))</f>
        <v>53148.24</v>
      </c>
      <c r="Q8" s="29">
        <f t="shared" ref="Q8:Q17" si="7">INDEX($C$8:$C$86,MATCH(LARGE($K$8:$K$86,$M8),$K$8:$K$86,0))</f>
        <v>6</v>
      </c>
    </row>
    <row r="9" spans="1:17" x14ac:dyDescent="0.3">
      <c r="A9" s="22" t="s">
        <v>469</v>
      </c>
      <c r="B9" s="22" t="str">
        <f>INDEX('Final Project Dataset'!$K$2:$K$251,MATCH(A9,'Final Project Dataset'!$I$2:$I$251,0))</f>
        <v>Karan Bhatt</v>
      </c>
      <c r="C9" s="29">
        <f>COUNTIF('Final Project Dataset'!$I$2:$I$251,A9)</f>
        <v>1</v>
      </c>
      <c r="D9" s="41">
        <f>SUMIF('Final Project Dataset'!$I$2:$I$251,A9,'Final Project Dataset'!$F$2:$F$251)</f>
        <v>37464</v>
      </c>
      <c r="E9" s="41">
        <f>SUMIF('Final Project Dataset'!$I$2:$I$251,A9,'Final Project Dataset'!$H$2:$H$251)</f>
        <v>6037.99</v>
      </c>
      <c r="F9" s="41">
        <f t="shared" si="0"/>
        <v>37464</v>
      </c>
      <c r="G9" s="27">
        <f>_xlfn.MAXIFS('Final Project Dataset'!$B$2:$B$251,'Final Project Dataset'!$I$2:$I$251,A9)</f>
        <v>45992</v>
      </c>
      <c r="H9" s="23">
        <f t="shared" ca="1" si="1"/>
        <v>333</v>
      </c>
      <c r="I9" s="29">
        <f t="shared" si="2"/>
        <v>53</v>
      </c>
      <c r="J9" s="22" t="str">
        <f t="shared" si="3"/>
        <v>Standard</v>
      </c>
      <c r="K9" s="42">
        <f t="shared" si="4"/>
        <v>37464.000009000003</v>
      </c>
      <c r="M9" s="43">
        <v>2</v>
      </c>
      <c r="N9" s="22" t="str">
        <f t="shared" ref="N8:N17" si="8">INDEX($B$8:$B$86,MATCH(LARGE($K$8:$K$86,$M9),$K$8:$K$86,0))</f>
        <v>Aditya Mehta</v>
      </c>
      <c r="O9" s="41">
        <f t="shared" si="5"/>
        <v>249362</v>
      </c>
      <c r="P9" s="41">
        <f t="shared" si="6"/>
        <v>29285.42</v>
      </c>
      <c r="Q9" s="29">
        <f t="shared" si="7"/>
        <v>6</v>
      </c>
    </row>
    <row r="10" spans="1:17" x14ac:dyDescent="0.3">
      <c r="A10" s="22" t="s">
        <v>363</v>
      </c>
      <c r="B10" s="22" t="str">
        <f>INDEX('Final Project Dataset'!$K$2:$K$251,MATCH(A10,'Final Project Dataset'!$I$2:$I$251,0))</f>
        <v>Kavya Reddy</v>
      </c>
      <c r="C10" s="29">
        <f>COUNTIF('Final Project Dataset'!$I$2:$I$251,A10)</f>
        <v>1</v>
      </c>
      <c r="D10" s="41">
        <f>SUMIF('Final Project Dataset'!$I$2:$I$251,A10,'Final Project Dataset'!$F$2:$F$251)</f>
        <v>8668</v>
      </c>
      <c r="E10" s="41">
        <f>SUMIF('Final Project Dataset'!$I$2:$I$251,A10,'Final Project Dataset'!$H$2:$H$251)</f>
        <v>1675.43</v>
      </c>
      <c r="F10" s="41">
        <f t="shared" si="0"/>
        <v>8668</v>
      </c>
      <c r="G10" s="27">
        <f>_xlfn.MAXIFS('Final Project Dataset'!$B$2:$B$251,'Final Project Dataset'!$I$2:$I$251,A10)</f>
        <v>45857</v>
      </c>
      <c r="H10" s="23">
        <f t="shared" ca="1" si="1"/>
        <v>468</v>
      </c>
      <c r="I10" s="29">
        <f t="shared" si="2"/>
        <v>74</v>
      </c>
      <c r="J10" s="22" t="str">
        <f t="shared" si="3"/>
        <v>Standard</v>
      </c>
      <c r="K10" s="42">
        <f t="shared" si="4"/>
        <v>8668.0000099999997</v>
      </c>
      <c r="M10" s="43">
        <v>3</v>
      </c>
      <c r="N10" s="22" t="str">
        <f t="shared" si="8"/>
        <v>Riya Reddy</v>
      </c>
      <c r="O10" s="41">
        <f t="shared" si="5"/>
        <v>237530</v>
      </c>
      <c r="P10" s="41">
        <f t="shared" si="6"/>
        <v>34908.449999999997</v>
      </c>
      <c r="Q10" s="29">
        <f t="shared" si="7"/>
        <v>8</v>
      </c>
    </row>
    <row r="11" spans="1:17" x14ac:dyDescent="0.3">
      <c r="A11" s="22" t="s">
        <v>273</v>
      </c>
      <c r="B11" s="22" t="str">
        <f>INDEX('Final Project Dataset'!$K$2:$K$251,MATCH(A11,'Final Project Dataset'!$I$2:$I$251,0))</f>
        <v>Vihaan Nair</v>
      </c>
      <c r="C11" s="29">
        <f>COUNTIF('Final Project Dataset'!$I$2:$I$251,A11)</f>
        <v>4</v>
      </c>
      <c r="D11" s="41">
        <f>SUMIF('Final Project Dataset'!$I$2:$I$251,A11,'Final Project Dataset'!$F$2:$F$251)</f>
        <v>58045</v>
      </c>
      <c r="E11" s="41">
        <f>SUMIF('Final Project Dataset'!$I$2:$I$251,A11,'Final Project Dataset'!$H$2:$H$251)</f>
        <v>9221.0499999999993</v>
      </c>
      <c r="F11" s="41">
        <f t="shared" si="0"/>
        <v>14511.25</v>
      </c>
      <c r="G11" s="27">
        <f>_xlfn.MAXIFS('Final Project Dataset'!$B$2:$B$251,'Final Project Dataset'!$I$2:$I$251,A11)</f>
        <v>45994</v>
      </c>
      <c r="H11" s="23">
        <f t="shared" ca="1" si="1"/>
        <v>331</v>
      </c>
      <c r="I11" s="29">
        <f t="shared" si="2"/>
        <v>39</v>
      </c>
      <c r="J11" s="22" t="str">
        <f t="shared" si="3"/>
        <v>Mid-Value</v>
      </c>
      <c r="K11" s="42">
        <f t="shared" si="4"/>
        <v>58045.000010999996</v>
      </c>
      <c r="M11" s="43">
        <v>4</v>
      </c>
      <c r="N11" s="22" t="str">
        <f t="shared" si="8"/>
        <v>Priya Iyer</v>
      </c>
      <c r="O11" s="41">
        <f t="shared" si="5"/>
        <v>173827</v>
      </c>
      <c r="P11" s="41">
        <f t="shared" si="6"/>
        <v>28056.649999999998</v>
      </c>
      <c r="Q11" s="29">
        <f t="shared" si="7"/>
        <v>4</v>
      </c>
    </row>
    <row r="12" spans="1:17" x14ac:dyDescent="0.3">
      <c r="A12" s="22" t="s">
        <v>222</v>
      </c>
      <c r="B12" s="22" t="str">
        <f>INDEX('Final Project Dataset'!$K$2:$K$251,MATCH(A12,'Final Project Dataset'!$I$2:$I$251,0))</f>
        <v>Aditya Joshi</v>
      </c>
      <c r="C12" s="29">
        <f>COUNTIF('Final Project Dataset'!$I$2:$I$251,A12)</f>
        <v>2</v>
      </c>
      <c r="D12" s="41">
        <f>SUMIF('Final Project Dataset'!$I$2:$I$251,A12,'Final Project Dataset'!$F$2:$F$251)</f>
        <v>52700</v>
      </c>
      <c r="E12" s="41">
        <f>SUMIF('Final Project Dataset'!$I$2:$I$251,A12,'Final Project Dataset'!$H$2:$H$251)</f>
        <v>8671.15</v>
      </c>
      <c r="F12" s="41">
        <f t="shared" si="0"/>
        <v>26350</v>
      </c>
      <c r="G12" s="27">
        <f>_xlfn.MAXIFS('Final Project Dataset'!$B$2:$B$251,'Final Project Dataset'!$I$2:$I$251,A12)</f>
        <v>45854</v>
      </c>
      <c r="H12" s="23">
        <f t="shared" ca="1" si="1"/>
        <v>471</v>
      </c>
      <c r="I12" s="29">
        <f t="shared" si="2"/>
        <v>42</v>
      </c>
      <c r="J12" s="22" t="str">
        <f t="shared" si="3"/>
        <v>Standard</v>
      </c>
      <c r="K12" s="42">
        <f t="shared" si="4"/>
        <v>52700.000011999997</v>
      </c>
      <c r="M12" s="43">
        <v>5</v>
      </c>
      <c r="N12" s="22" t="str">
        <f t="shared" si="8"/>
        <v>Vihaan Mehta</v>
      </c>
      <c r="O12" s="41">
        <f t="shared" si="5"/>
        <v>153202</v>
      </c>
      <c r="P12" s="41">
        <f t="shared" si="6"/>
        <v>22319.83</v>
      </c>
      <c r="Q12" s="29">
        <f t="shared" si="7"/>
        <v>7</v>
      </c>
    </row>
    <row r="13" spans="1:17" x14ac:dyDescent="0.3">
      <c r="A13" s="22" t="s">
        <v>110</v>
      </c>
      <c r="B13" s="22" t="str">
        <f>INDEX('Final Project Dataset'!$K$2:$K$251,MATCH(A13,'Final Project Dataset'!$I$2:$I$251,0))</f>
        <v>Riya Shah</v>
      </c>
      <c r="C13" s="29">
        <f>COUNTIF('Final Project Dataset'!$I$2:$I$251,A13)</f>
        <v>5</v>
      </c>
      <c r="D13" s="41">
        <f>SUMIF('Final Project Dataset'!$I$2:$I$251,A13,'Final Project Dataset'!$F$2:$F$251)</f>
        <v>120001</v>
      </c>
      <c r="E13" s="41">
        <f>SUMIF('Final Project Dataset'!$I$2:$I$251,A13,'Final Project Dataset'!$H$2:$H$251)</f>
        <v>15299.43</v>
      </c>
      <c r="F13" s="41">
        <f t="shared" si="0"/>
        <v>24000.2</v>
      </c>
      <c r="G13" s="27">
        <f>_xlfn.MAXIFS('Final Project Dataset'!$B$2:$B$251,'Final Project Dataset'!$I$2:$I$251,A13)</f>
        <v>45999</v>
      </c>
      <c r="H13" s="23">
        <f t="shared" ca="1" si="1"/>
        <v>326</v>
      </c>
      <c r="I13" s="29">
        <f t="shared" si="2"/>
        <v>9</v>
      </c>
      <c r="J13" s="22" t="str">
        <f t="shared" si="3"/>
        <v>High-Value</v>
      </c>
      <c r="K13" s="42">
        <f t="shared" si="4"/>
        <v>120001.000013</v>
      </c>
      <c r="M13" s="43">
        <v>6</v>
      </c>
      <c r="N13" s="22" t="str">
        <f t="shared" si="8"/>
        <v>Anjali Patel</v>
      </c>
      <c r="O13" s="41">
        <f t="shared" si="5"/>
        <v>139087</v>
      </c>
      <c r="P13" s="41">
        <f t="shared" si="6"/>
        <v>19635.71</v>
      </c>
      <c r="Q13" s="29">
        <f t="shared" si="7"/>
        <v>4</v>
      </c>
    </row>
    <row r="14" spans="1:17" x14ac:dyDescent="0.3">
      <c r="A14" s="22" t="s">
        <v>244</v>
      </c>
      <c r="B14" s="22" t="str">
        <f>INDEX('Final Project Dataset'!$K$2:$K$251,MATCH(A14,'Final Project Dataset'!$I$2:$I$251,0))</f>
        <v>Rohan Sharma</v>
      </c>
      <c r="C14" s="29">
        <f>COUNTIF('Final Project Dataset'!$I$2:$I$251,A14)</f>
        <v>4</v>
      </c>
      <c r="D14" s="41">
        <f>SUMIF('Final Project Dataset'!$I$2:$I$251,A14,'Final Project Dataset'!$F$2:$F$251)</f>
        <v>29460</v>
      </c>
      <c r="E14" s="41">
        <f>SUMIF('Final Project Dataset'!$I$2:$I$251,A14,'Final Project Dataset'!$H$2:$H$251)</f>
        <v>5498.5</v>
      </c>
      <c r="F14" s="41">
        <f t="shared" si="0"/>
        <v>7365</v>
      </c>
      <c r="G14" s="27">
        <f>_xlfn.MAXIFS('Final Project Dataset'!$B$2:$B$251,'Final Project Dataset'!$I$2:$I$251,A14)</f>
        <v>45998</v>
      </c>
      <c r="H14" s="23">
        <f t="shared" ca="1" si="1"/>
        <v>327</v>
      </c>
      <c r="I14" s="29">
        <f t="shared" si="2"/>
        <v>57</v>
      </c>
      <c r="J14" s="22" t="str">
        <f t="shared" si="3"/>
        <v>Standard</v>
      </c>
      <c r="K14" s="42">
        <f t="shared" si="4"/>
        <v>29460.000014000001</v>
      </c>
      <c r="M14" s="43">
        <v>7</v>
      </c>
      <c r="N14" s="22" t="str">
        <f t="shared" si="8"/>
        <v>Sanjay Reddy</v>
      </c>
      <c r="O14" s="41">
        <f t="shared" si="5"/>
        <v>134149</v>
      </c>
      <c r="P14" s="41">
        <f t="shared" si="6"/>
        <v>23456.420000000006</v>
      </c>
      <c r="Q14" s="29">
        <f t="shared" si="7"/>
        <v>5</v>
      </c>
    </row>
    <row r="15" spans="1:17" x14ac:dyDescent="0.3">
      <c r="A15" s="22" t="s">
        <v>144</v>
      </c>
      <c r="B15" s="22" t="str">
        <f>INDEX('Final Project Dataset'!$K$2:$K$251,MATCH(A15,'Final Project Dataset'!$I$2:$I$251,0))</f>
        <v>Amit Singh</v>
      </c>
      <c r="C15" s="29">
        <f>COUNTIF('Final Project Dataset'!$I$2:$I$251,A15)</f>
        <v>5</v>
      </c>
      <c r="D15" s="41">
        <f>SUMIF('Final Project Dataset'!$I$2:$I$251,A15,'Final Project Dataset'!$F$2:$F$251)</f>
        <v>116671</v>
      </c>
      <c r="E15" s="41">
        <f>SUMIF('Final Project Dataset'!$I$2:$I$251,A15,'Final Project Dataset'!$H$2:$H$251)</f>
        <v>20018.63</v>
      </c>
      <c r="F15" s="41">
        <f t="shared" si="0"/>
        <v>23334.2</v>
      </c>
      <c r="G15" s="27">
        <f>_xlfn.MAXIFS('Final Project Dataset'!$B$2:$B$251,'Final Project Dataset'!$I$2:$I$251,A15)</f>
        <v>45988</v>
      </c>
      <c r="H15" s="23">
        <f t="shared" ca="1" si="1"/>
        <v>337</v>
      </c>
      <c r="I15" s="29">
        <f t="shared" si="2"/>
        <v>11</v>
      </c>
      <c r="J15" s="22" t="str">
        <f t="shared" si="3"/>
        <v>High-Value</v>
      </c>
      <c r="K15" s="42">
        <f t="shared" si="4"/>
        <v>116671.000015</v>
      </c>
      <c r="M15" s="43">
        <v>8</v>
      </c>
      <c r="N15" s="22" t="str">
        <f t="shared" si="8"/>
        <v>Sneha Trivedi</v>
      </c>
      <c r="O15" s="41">
        <f t="shared" si="5"/>
        <v>125952</v>
      </c>
      <c r="P15" s="41">
        <f t="shared" si="6"/>
        <v>13944.02</v>
      </c>
      <c r="Q15" s="29">
        <f t="shared" si="7"/>
        <v>2</v>
      </c>
    </row>
    <row r="16" spans="1:17" x14ac:dyDescent="0.3">
      <c r="A16" s="22" t="s">
        <v>314</v>
      </c>
      <c r="B16" s="22" t="str">
        <f>INDEX('Final Project Dataset'!$K$2:$K$251,MATCH(A16,'Final Project Dataset'!$I$2:$I$251,0))</f>
        <v>Sanjay Reddy</v>
      </c>
      <c r="C16" s="29">
        <f>COUNTIF('Final Project Dataset'!$I$2:$I$251,A16)</f>
        <v>5</v>
      </c>
      <c r="D16" s="41">
        <f>SUMIF('Final Project Dataset'!$I$2:$I$251,A16,'Final Project Dataset'!$F$2:$F$251)</f>
        <v>134149</v>
      </c>
      <c r="E16" s="41">
        <f>SUMIF('Final Project Dataset'!$I$2:$I$251,A16,'Final Project Dataset'!$H$2:$H$251)</f>
        <v>23456.420000000006</v>
      </c>
      <c r="F16" s="41">
        <f t="shared" si="0"/>
        <v>26829.8</v>
      </c>
      <c r="G16" s="27">
        <f>_xlfn.MAXIFS('Final Project Dataset'!$B$2:$B$251,'Final Project Dataset'!$I$2:$I$251,A16)</f>
        <v>46009</v>
      </c>
      <c r="H16" s="23">
        <f t="shared" ca="1" si="1"/>
        <v>316</v>
      </c>
      <c r="I16" s="29">
        <f t="shared" si="2"/>
        <v>7</v>
      </c>
      <c r="J16" s="22" t="str">
        <f t="shared" si="3"/>
        <v>High-Value</v>
      </c>
      <c r="K16" s="42">
        <f t="shared" si="4"/>
        <v>134149.00001600001</v>
      </c>
      <c r="M16" s="43">
        <v>9</v>
      </c>
      <c r="N16" s="22" t="str">
        <f t="shared" si="8"/>
        <v>Riya Shah</v>
      </c>
      <c r="O16" s="41">
        <f t="shared" si="5"/>
        <v>120001</v>
      </c>
      <c r="P16" s="41">
        <f t="shared" si="6"/>
        <v>15299.43</v>
      </c>
      <c r="Q16" s="29">
        <f t="shared" si="7"/>
        <v>5</v>
      </c>
    </row>
    <row r="17" spans="1:17" x14ac:dyDescent="0.3">
      <c r="A17" s="22" t="s">
        <v>113</v>
      </c>
      <c r="B17" s="22" t="str">
        <f>INDEX('Final Project Dataset'!$K$2:$K$251,MATCH(A17,'Final Project Dataset'!$I$2:$I$251,0))</f>
        <v>Vihaan Bhatt</v>
      </c>
      <c r="C17" s="29">
        <f>COUNTIF('Final Project Dataset'!$I$2:$I$251,A17)</f>
        <v>4</v>
      </c>
      <c r="D17" s="41">
        <f>SUMIF('Final Project Dataset'!$I$2:$I$251,A17,'Final Project Dataset'!$F$2:$F$251)</f>
        <v>83654</v>
      </c>
      <c r="E17" s="41">
        <f>SUMIF('Final Project Dataset'!$I$2:$I$251,A17,'Final Project Dataset'!$H$2:$H$251)</f>
        <v>10906.08</v>
      </c>
      <c r="F17" s="41">
        <f t="shared" si="0"/>
        <v>20913.5</v>
      </c>
      <c r="G17" s="27">
        <f>_xlfn.MAXIFS('Final Project Dataset'!$B$2:$B$251,'Final Project Dataset'!$I$2:$I$251,A17)</f>
        <v>45867</v>
      </c>
      <c r="H17" s="23">
        <f t="shared" ca="1" si="1"/>
        <v>458</v>
      </c>
      <c r="I17" s="29">
        <f t="shared" si="2"/>
        <v>19</v>
      </c>
      <c r="J17" s="22" t="str">
        <f t="shared" si="3"/>
        <v>Mid-Value</v>
      </c>
      <c r="K17" s="42">
        <f t="shared" si="4"/>
        <v>83654.000016999998</v>
      </c>
      <c r="M17" s="43">
        <v>10</v>
      </c>
      <c r="N17" s="22" t="str">
        <f t="shared" si="8"/>
        <v>Aditya Iyer</v>
      </c>
      <c r="O17" s="41">
        <f t="shared" si="5"/>
        <v>118548</v>
      </c>
      <c r="P17" s="41">
        <f t="shared" si="6"/>
        <v>18036.54</v>
      </c>
      <c r="Q17" s="29">
        <f t="shared" si="7"/>
        <v>5</v>
      </c>
    </row>
    <row r="18" spans="1:17" x14ac:dyDescent="0.3">
      <c r="A18" s="22" t="s">
        <v>138</v>
      </c>
      <c r="B18" s="22" t="str">
        <f>INDEX('Final Project Dataset'!$K$2:$K$251,MATCH(A18,'Final Project Dataset'!$I$2:$I$251,0))</f>
        <v>Nikhil Mehta</v>
      </c>
      <c r="C18" s="29">
        <f>COUNTIF('Final Project Dataset'!$I$2:$I$251,A18)</f>
        <v>3</v>
      </c>
      <c r="D18" s="41">
        <f>SUMIF('Final Project Dataset'!$I$2:$I$251,A18,'Final Project Dataset'!$F$2:$F$251)</f>
        <v>27234</v>
      </c>
      <c r="E18" s="41">
        <f>SUMIF('Final Project Dataset'!$I$2:$I$251,A18,'Final Project Dataset'!$H$2:$H$251)</f>
        <v>3748.2200000000003</v>
      </c>
      <c r="F18" s="41">
        <f t="shared" si="0"/>
        <v>9078</v>
      </c>
      <c r="G18" s="27">
        <f>_xlfn.MAXIFS('Final Project Dataset'!$B$2:$B$251,'Final Project Dataset'!$I$2:$I$251,A18)</f>
        <v>45821</v>
      </c>
      <c r="H18" s="23">
        <f t="shared" ca="1" si="1"/>
        <v>504</v>
      </c>
      <c r="I18" s="29">
        <f t="shared" si="2"/>
        <v>60</v>
      </c>
      <c r="J18" s="22" t="str">
        <f t="shared" si="3"/>
        <v>Standard</v>
      </c>
      <c r="K18" s="42">
        <f t="shared" si="4"/>
        <v>27234.000017999999</v>
      </c>
    </row>
    <row r="19" spans="1:17" x14ac:dyDescent="0.3">
      <c r="A19" s="22" t="s">
        <v>175</v>
      </c>
      <c r="B19" s="22" t="str">
        <f>INDEX('Final Project Dataset'!$K$2:$K$251,MATCH(A19,'Final Project Dataset'!$I$2:$I$251,0))</f>
        <v>Priya Bhatt</v>
      </c>
      <c r="C19" s="29">
        <f>COUNTIF('Final Project Dataset'!$I$2:$I$251,A19)</f>
        <v>2</v>
      </c>
      <c r="D19" s="41">
        <f>SUMIF('Final Project Dataset'!$I$2:$I$251,A19,'Final Project Dataset'!$F$2:$F$251)</f>
        <v>42467</v>
      </c>
      <c r="E19" s="41">
        <f>SUMIF('Final Project Dataset'!$I$2:$I$251,A19,'Final Project Dataset'!$H$2:$H$251)</f>
        <v>5140.33</v>
      </c>
      <c r="F19" s="41">
        <f t="shared" si="0"/>
        <v>21233.5</v>
      </c>
      <c r="G19" s="27">
        <f>_xlfn.MAXIFS('Final Project Dataset'!$B$2:$B$251,'Final Project Dataset'!$I$2:$I$251,A19)</f>
        <v>45723</v>
      </c>
      <c r="H19" s="23">
        <f t="shared" ca="1" si="1"/>
        <v>602</v>
      </c>
      <c r="I19" s="29">
        <f t="shared" si="2"/>
        <v>49</v>
      </c>
      <c r="J19" s="22" t="str">
        <f t="shared" si="3"/>
        <v>Standard</v>
      </c>
      <c r="K19" s="42">
        <f t="shared" si="4"/>
        <v>42467.000018999999</v>
      </c>
    </row>
    <row r="20" spans="1:17" x14ac:dyDescent="0.3">
      <c r="A20" s="22" t="s">
        <v>107</v>
      </c>
      <c r="B20" s="22" t="str">
        <f>INDEX('Final Project Dataset'!$K$2:$K$251,MATCH(A20,'Final Project Dataset'!$I$2:$I$251,0))</f>
        <v>Vihaan Mehta</v>
      </c>
      <c r="C20" s="29">
        <f>COUNTIF('Final Project Dataset'!$I$2:$I$251,A20)</f>
        <v>7</v>
      </c>
      <c r="D20" s="41">
        <f>SUMIF('Final Project Dataset'!$I$2:$I$251,A20,'Final Project Dataset'!$F$2:$F$251)</f>
        <v>153202</v>
      </c>
      <c r="E20" s="41">
        <f>SUMIF('Final Project Dataset'!$I$2:$I$251,A20,'Final Project Dataset'!$H$2:$H$251)</f>
        <v>22319.83</v>
      </c>
      <c r="F20" s="41">
        <f t="shared" si="0"/>
        <v>21886</v>
      </c>
      <c r="G20" s="27">
        <f>_xlfn.MAXIFS('Final Project Dataset'!$B$2:$B$251,'Final Project Dataset'!$I$2:$I$251,A20)</f>
        <v>45910</v>
      </c>
      <c r="H20" s="23">
        <f t="shared" ca="1" si="1"/>
        <v>415</v>
      </c>
      <c r="I20" s="29">
        <f t="shared" si="2"/>
        <v>5</v>
      </c>
      <c r="J20" s="22" t="str">
        <f t="shared" si="3"/>
        <v>High-Value</v>
      </c>
      <c r="K20" s="42">
        <f t="shared" si="4"/>
        <v>153202.00002000001</v>
      </c>
    </row>
    <row r="21" spans="1:17" x14ac:dyDescent="0.3">
      <c r="A21" s="22" t="s">
        <v>195</v>
      </c>
      <c r="B21" s="22" t="str">
        <f>INDEX('Final Project Dataset'!$K$2:$K$251,MATCH(A21,'Final Project Dataset'!$I$2:$I$251,0))</f>
        <v>Aditya Kapoor</v>
      </c>
      <c r="C21" s="29">
        <f>COUNTIF('Final Project Dataset'!$I$2:$I$251,A21)</f>
        <v>6</v>
      </c>
      <c r="D21" s="41">
        <f>SUMIF('Final Project Dataset'!$I$2:$I$251,A21,'Final Project Dataset'!$F$2:$F$251)</f>
        <v>321673</v>
      </c>
      <c r="E21" s="41">
        <f>SUMIF('Final Project Dataset'!$I$2:$I$251,A21,'Final Project Dataset'!$H$2:$H$251)</f>
        <v>53148.24</v>
      </c>
      <c r="F21" s="41">
        <f t="shared" si="0"/>
        <v>53612.166666666664</v>
      </c>
      <c r="G21" s="27">
        <f>_xlfn.MAXIFS('Final Project Dataset'!$B$2:$B$251,'Final Project Dataset'!$I$2:$I$251,A21)</f>
        <v>46011</v>
      </c>
      <c r="H21" s="23">
        <f t="shared" ca="1" si="1"/>
        <v>314</v>
      </c>
      <c r="I21" s="29">
        <f t="shared" si="2"/>
        <v>1</v>
      </c>
      <c r="J21" s="22" t="str">
        <f t="shared" si="3"/>
        <v>High-Value</v>
      </c>
      <c r="K21" s="42">
        <f t="shared" si="4"/>
        <v>321673.00002099999</v>
      </c>
    </row>
    <row r="22" spans="1:17" x14ac:dyDescent="0.3">
      <c r="A22" s="22" t="s">
        <v>162</v>
      </c>
      <c r="B22" s="22" t="str">
        <f>INDEX('Final Project Dataset'!$K$2:$K$251,MATCH(A22,'Final Project Dataset'!$I$2:$I$251,0))</f>
        <v>Ishita Trivedi</v>
      </c>
      <c r="C22" s="29">
        <f>COUNTIF('Final Project Dataset'!$I$2:$I$251,A22)</f>
        <v>2</v>
      </c>
      <c r="D22" s="41">
        <f>SUMIF('Final Project Dataset'!$I$2:$I$251,A22,'Final Project Dataset'!$F$2:$F$251)</f>
        <v>5706</v>
      </c>
      <c r="E22" s="41">
        <f>SUMIF('Final Project Dataset'!$I$2:$I$251,A22,'Final Project Dataset'!$H$2:$H$251)</f>
        <v>1480.99</v>
      </c>
      <c r="F22" s="41">
        <f t="shared" si="0"/>
        <v>2853</v>
      </c>
      <c r="G22" s="27">
        <f>_xlfn.MAXIFS('Final Project Dataset'!$B$2:$B$251,'Final Project Dataset'!$I$2:$I$251,A22)</f>
        <v>45809</v>
      </c>
      <c r="H22" s="23">
        <f t="shared" ca="1" si="1"/>
        <v>516</v>
      </c>
      <c r="I22" s="29">
        <f t="shared" si="2"/>
        <v>76</v>
      </c>
      <c r="J22" s="22" t="str">
        <f t="shared" si="3"/>
        <v>Standard</v>
      </c>
      <c r="K22" s="42">
        <f t="shared" si="4"/>
        <v>5706.0000220000002</v>
      </c>
    </row>
    <row r="23" spans="1:17" x14ac:dyDescent="0.3">
      <c r="A23" s="22" t="s">
        <v>484</v>
      </c>
      <c r="B23" s="22" t="str">
        <f>INDEX('Final Project Dataset'!$K$2:$K$251,MATCH(A23,'Final Project Dataset'!$I$2:$I$251,0))</f>
        <v>Ishita Verma</v>
      </c>
      <c r="C23" s="29">
        <f>COUNTIF('Final Project Dataset'!$I$2:$I$251,A23)</f>
        <v>2</v>
      </c>
      <c r="D23" s="41">
        <f>SUMIF('Final Project Dataset'!$I$2:$I$251,A23,'Final Project Dataset'!$F$2:$F$251)</f>
        <v>73493</v>
      </c>
      <c r="E23" s="41">
        <f>SUMIF('Final Project Dataset'!$I$2:$I$251,A23,'Final Project Dataset'!$H$2:$H$251)</f>
        <v>11683.62</v>
      </c>
      <c r="F23" s="41">
        <f t="shared" si="0"/>
        <v>36746.5</v>
      </c>
      <c r="G23" s="27">
        <f>_xlfn.MAXIFS('Final Project Dataset'!$B$2:$B$251,'Final Project Dataset'!$I$2:$I$251,A23)</f>
        <v>46015</v>
      </c>
      <c r="H23" s="23">
        <f t="shared" ca="1" si="1"/>
        <v>310</v>
      </c>
      <c r="I23" s="29">
        <f t="shared" si="2"/>
        <v>28</v>
      </c>
      <c r="J23" s="22" t="str">
        <f t="shared" si="3"/>
        <v>Mid-Value</v>
      </c>
      <c r="K23" s="42">
        <f t="shared" si="4"/>
        <v>73493.000023000001</v>
      </c>
    </row>
    <row r="24" spans="1:17" x14ac:dyDescent="0.3">
      <c r="A24" s="22" t="s">
        <v>151</v>
      </c>
      <c r="B24" s="22" t="str">
        <f>INDEX('Final Project Dataset'!$K$2:$K$251,MATCH(A24,'Final Project Dataset'!$I$2:$I$251,0))</f>
        <v>Aditya Mehta</v>
      </c>
      <c r="C24" s="29">
        <f>COUNTIF('Final Project Dataset'!$I$2:$I$251,A24)</f>
        <v>6</v>
      </c>
      <c r="D24" s="41">
        <f>SUMIF('Final Project Dataset'!$I$2:$I$251,A24,'Final Project Dataset'!$F$2:$F$251)</f>
        <v>249362</v>
      </c>
      <c r="E24" s="41">
        <f>SUMIF('Final Project Dataset'!$I$2:$I$251,A24,'Final Project Dataset'!$H$2:$H$251)</f>
        <v>29285.42</v>
      </c>
      <c r="F24" s="41">
        <f t="shared" si="0"/>
        <v>41560.333333333336</v>
      </c>
      <c r="G24" s="27">
        <f>_xlfn.MAXIFS('Final Project Dataset'!$B$2:$B$251,'Final Project Dataset'!$I$2:$I$251,A24)</f>
        <v>46020</v>
      </c>
      <c r="H24" s="23">
        <f t="shared" ca="1" si="1"/>
        <v>305</v>
      </c>
      <c r="I24" s="29">
        <f t="shared" si="2"/>
        <v>2</v>
      </c>
      <c r="J24" s="22" t="str">
        <f t="shared" si="3"/>
        <v>High-Value</v>
      </c>
      <c r="K24" s="42">
        <f t="shared" si="4"/>
        <v>249362.00002400001</v>
      </c>
    </row>
    <row r="25" spans="1:17" x14ac:dyDescent="0.3">
      <c r="A25" s="22" t="s">
        <v>155</v>
      </c>
      <c r="B25" s="22" t="str">
        <f>INDEX('Final Project Dataset'!$K$2:$K$251,MATCH(A25,'Final Project Dataset'!$I$2:$I$251,0))</f>
        <v>Anjali Singh</v>
      </c>
      <c r="C25" s="29">
        <f>COUNTIF('Final Project Dataset'!$I$2:$I$251,A25)</f>
        <v>2</v>
      </c>
      <c r="D25" s="41">
        <f>SUMIF('Final Project Dataset'!$I$2:$I$251,A25,'Final Project Dataset'!$F$2:$F$251)</f>
        <v>12605</v>
      </c>
      <c r="E25" s="41">
        <f>SUMIF('Final Project Dataset'!$I$2:$I$251,A25,'Final Project Dataset'!$H$2:$H$251)</f>
        <v>3049.43</v>
      </c>
      <c r="F25" s="41">
        <f t="shared" si="0"/>
        <v>6302.5</v>
      </c>
      <c r="G25" s="27">
        <f>_xlfn.MAXIFS('Final Project Dataset'!$B$2:$B$251,'Final Project Dataset'!$I$2:$I$251,A25)</f>
        <v>45932</v>
      </c>
      <c r="H25" s="23">
        <f t="shared" ca="1" si="1"/>
        <v>393</v>
      </c>
      <c r="I25" s="29">
        <f t="shared" si="2"/>
        <v>72</v>
      </c>
      <c r="J25" s="22" t="str">
        <f t="shared" si="3"/>
        <v>Standard</v>
      </c>
      <c r="K25" s="42">
        <f t="shared" si="4"/>
        <v>12605.000024999999</v>
      </c>
    </row>
    <row r="26" spans="1:17" x14ac:dyDescent="0.3">
      <c r="A26" s="22" t="s">
        <v>95</v>
      </c>
      <c r="B26" s="22" t="str">
        <f>INDEX('Final Project Dataset'!$K$2:$K$251,MATCH(A26,'Final Project Dataset'!$I$2:$I$251,0))</f>
        <v>Aditya Trivedi</v>
      </c>
      <c r="C26" s="29">
        <f>COUNTIF('Final Project Dataset'!$I$2:$I$251,A26)</f>
        <v>3</v>
      </c>
      <c r="D26" s="41">
        <f>SUMIF('Final Project Dataset'!$I$2:$I$251,A26,'Final Project Dataset'!$F$2:$F$251)</f>
        <v>84089</v>
      </c>
      <c r="E26" s="41">
        <f>SUMIF('Final Project Dataset'!$I$2:$I$251,A26,'Final Project Dataset'!$H$2:$H$251)</f>
        <v>10207.959999999999</v>
      </c>
      <c r="F26" s="41">
        <f t="shared" si="0"/>
        <v>28029.666666666668</v>
      </c>
      <c r="G26" s="27">
        <f>_xlfn.MAXIFS('Final Project Dataset'!$B$2:$B$251,'Final Project Dataset'!$I$2:$I$251,A26)</f>
        <v>45987</v>
      </c>
      <c r="H26" s="23">
        <f t="shared" ca="1" si="1"/>
        <v>338</v>
      </c>
      <c r="I26" s="29">
        <f t="shared" si="2"/>
        <v>18</v>
      </c>
      <c r="J26" s="22" t="str">
        <f t="shared" si="3"/>
        <v>Mid-Value</v>
      </c>
      <c r="K26" s="42">
        <f t="shared" si="4"/>
        <v>84089.000025999994</v>
      </c>
    </row>
    <row r="27" spans="1:17" x14ac:dyDescent="0.3">
      <c r="A27" s="22" t="s">
        <v>132</v>
      </c>
      <c r="B27" s="22" t="str">
        <f>INDEX('Final Project Dataset'!$K$2:$K$251,MATCH(A27,'Final Project Dataset'!$I$2:$I$251,0))</f>
        <v>Riya Reddy</v>
      </c>
      <c r="C27" s="29">
        <f>COUNTIF('Final Project Dataset'!$I$2:$I$251,A27)</f>
        <v>8</v>
      </c>
      <c r="D27" s="41">
        <f>SUMIF('Final Project Dataset'!$I$2:$I$251,A27,'Final Project Dataset'!$F$2:$F$251)</f>
        <v>237530</v>
      </c>
      <c r="E27" s="41">
        <f>SUMIF('Final Project Dataset'!$I$2:$I$251,A27,'Final Project Dataset'!$H$2:$H$251)</f>
        <v>34908.449999999997</v>
      </c>
      <c r="F27" s="41">
        <f t="shared" si="0"/>
        <v>29691.25</v>
      </c>
      <c r="G27" s="27">
        <f>_xlfn.MAXIFS('Final Project Dataset'!$B$2:$B$251,'Final Project Dataset'!$I$2:$I$251,A27)</f>
        <v>45969</v>
      </c>
      <c r="H27" s="23">
        <f t="shared" ca="1" si="1"/>
        <v>356</v>
      </c>
      <c r="I27" s="29">
        <f t="shared" si="2"/>
        <v>3</v>
      </c>
      <c r="J27" s="22" t="str">
        <f t="shared" si="3"/>
        <v>High-Value</v>
      </c>
      <c r="K27" s="42">
        <f t="shared" si="4"/>
        <v>237530.000027</v>
      </c>
    </row>
    <row r="28" spans="1:17" x14ac:dyDescent="0.3">
      <c r="A28" s="22" t="s">
        <v>301</v>
      </c>
      <c r="B28" s="22" t="str">
        <f>INDEX('Final Project Dataset'!$K$2:$K$251,MATCH(A28,'Final Project Dataset'!$I$2:$I$251,0))</f>
        <v>Ishita Iyer</v>
      </c>
      <c r="C28" s="29">
        <f>COUNTIF('Final Project Dataset'!$I$2:$I$251,A28)</f>
        <v>4</v>
      </c>
      <c r="D28" s="41">
        <f>SUMIF('Final Project Dataset'!$I$2:$I$251,A28,'Final Project Dataset'!$F$2:$F$251)</f>
        <v>78914</v>
      </c>
      <c r="E28" s="41">
        <f>SUMIF('Final Project Dataset'!$I$2:$I$251,A28,'Final Project Dataset'!$H$2:$H$251)</f>
        <v>12227.56</v>
      </c>
      <c r="F28" s="41">
        <f t="shared" si="0"/>
        <v>19728.5</v>
      </c>
      <c r="G28" s="27">
        <f>_xlfn.MAXIFS('Final Project Dataset'!$B$2:$B$251,'Final Project Dataset'!$I$2:$I$251,A28)</f>
        <v>45971</v>
      </c>
      <c r="H28" s="23">
        <f t="shared" ca="1" si="1"/>
        <v>354</v>
      </c>
      <c r="I28" s="29">
        <f t="shared" si="2"/>
        <v>24</v>
      </c>
      <c r="J28" s="22" t="str">
        <f t="shared" si="3"/>
        <v>Mid-Value</v>
      </c>
      <c r="K28" s="42">
        <f t="shared" si="4"/>
        <v>78914.000027999995</v>
      </c>
    </row>
    <row r="29" spans="1:17" x14ac:dyDescent="0.3">
      <c r="A29" s="22" t="s">
        <v>171</v>
      </c>
      <c r="B29" s="22" t="str">
        <f>INDEX('Final Project Dataset'!$K$2:$K$251,MATCH(A29,'Final Project Dataset'!$I$2:$I$251,0))</f>
        <v>Vihaan Trivedi</v>
      </c>
      <c r="C29" s="29">
        <f>COUNTIF('Final Project Dataset'!$I$2:$I$251,A29)</f>
        <v>1</v>
      </c>
      <c r="D29" s="41">
        <f>SUMIF('Final Project Dataset'!$I$2:$I$251,A29,'Final Project Dataset'!$F$2:$F$251)</f>
        <v>4735</v>
      </c>
      <c r="E29" s="41">
        <f>SUMIF('Final Project Dataset'!$I$2:$I$251,A29,'Final Project Dataset'!$H$2:$H$251)</f>
        <v>1517.04</v>
      </c>
      <c r="F29" s="41">
        <f t="shared" si="0"/>
        <v>4735</v>
      </c>
      <c r="G29" s="27">
        <f>_xlfn.MAXIFS('Final Project Dataset'!$B$2:$B$251,'Final Project Dataset'!$I$2:$I$251,A29)</f>
        <v>45709</v>
      </c>
      <c r="H29" s="23">
        <f t="shared" ca="1" si="1"/>
        <v>616</v>
      </c>
      <c r="I29" s="29">
        <f t="shared" si="2"/>
        <v>78</v>
      </c>
      <c r="J29" s="22" t="str">
        <f t="shared" si="3"/>
        <v>Standard</v>
      </c>
      <c r="K29" s="42">
        <f t="shared" si="4"/>
        <v>4735.0000289999998</v>
      </c>
    </row>
    <row r="30" spans="1:17" x14ac:dyDescent="0.3">
      <c r="A30" s="22" t="s">
        <v>287</v>
      </c>
      <c r="B30" s="22" t="str">
        <f>INDEX('Final Project Dataset'!$K$2:$K$251,MATCH(A30,'Final Project Dataset'!$I$2:$I$251,0))</f>
        <v>Sanjay Patel</v>
      </c>
      <c r="C30" s="29">
        <f>COUNTIF('Final Project Dataset'!$I$2:$I$251,A30)</f>
        <v>2</v>
      </c>
      <c r="D30" s="41">
        <f>SUMIF('Final Project Dataset'!$I$2:$I$251,A30,'Final Project Dataset'!$F$2:$F$251)</f>
        <v>23767</v>
      </c>
      <c r="E30" s="41">
        <f>SUMIF('Final Project Dataset'!$I$2:$I$251,A30,'Final Project Dataset'!$H$2:$H$251)</f>
        <v>2145.5699999999997</v>
      </c>
      <c r="F30" s="41">
        <f t="shared" si="0"/>
        <v>11883.5</v>
      </c>
      <c r="G30" s="27">
        <f>_xlfn.MAXIFS('Final Project Dataset'!$B$2:$B$251,'Final Project Dataset'!$I$2:$I$251,A30)</f>
        <v>45993</v>
      </c>
      <c r="H30" s="23">
        <f t="shared" ca="1" si="1"/>
        <v>332</v>
      </c>
      <c r="I30" s="29">
        <f t="shared" si="2"/>
        <v>63</v>
      </c>
      <c r="J30" s="22" t="str">
        <f t="shared" si="3"/>
        <v>Standard</v>
      </c>
      <c r="K30" s="42">
        <f t="shared" si="4"/>
        <v>23767.000029999999</v>
      </c>
    </row>
    <row r="31" spans="1:17" x14ac:dyDescent="0.3">
      <c r="A31" s="22" t="s">
        <v>187</v>
      </c>
      <c r="B31" s="22" t="str">
        <f>INDEX('Final Project Dataset'!$K$2:$K$251,MATCH(A31,'Final Project Dataset'!$I$2:$I$251,0))</f>
        <v>Rohan Chauhan</v>
      </c>
      <c r="C31" s="29">
        <f>COUNTIF('Final Project Dataset'!$I$2:$I$251,A31)</f>
        <v>4</v>
      </c>
      <c r="D31" s="41">
        <f>SUMIF('Final Project Dataset'!$I$2:$I$251,A31,'Final Project Dataset'!$F$2:$F$251)</f>
        <v>25322</v>
      </c>
      <c r="E31" s="41">
        <f>SUMIF('Final Project Dataset'!$I$2:$I$251,A31,'Final Project Dataset'!$H$2:$H$251)</f>
        <v>3794.8199999999997</v>
      </c>
      <c r="F31" s="41">
        <f t="shared" si="0"/>
        <v>6330.5</v>
      </c>
      <c r="G31" s="27">
        <f>_xlfn.MAXIFS('Final Project Dataset'!$B$2:$B$251,'Final Project Dataset'!$I$2:$I$251,A31)</f>
        <v>45855</v>
      </c>
      <c r="H31" s="23">
        <f t="shared" ca="1" si="1"/>
        <v>470</v>
      </c>
      <c r="I31" s="29">
        <f t="shared" si="2"/>
        <v>61</v>
      </c>
      <c r="J31" s="22" t="str">
        <f t="shared" si="3"/>
        <v>Standard</v>
      </c>
      <c r="K31" s="42">
        <f t="shared" si="4"/>
        <v>25322.000031</v>
      </c>
    </row>
    <row r="32" spans="1:17" x14ac:dyDescent="0.3">
      <c r="A32" s="22" t="s">
        <v>266</v>
      </c>
      <c r="B32" s="22" t="str">
        <f>INDEX('Final Project Dataset'!$K$2:$K$251,MATCH(A32,'Final Project Dataset'!$I$2:$I$251,0))</f>
        <v>Anjali Shah</v>
      </c>
      <c r="C32" s="29">
        <f>COUNTIF('Final Project Dataset'!$I$2:$I$251,A32)</f>
        <v>2</v>
      </c>
      <c r="D32" s="41">
        <f>SUMIF('Final Project Dataset'!$I$2:$I$251,A32,'Final Project Dataset'!$F$2:$F$251)</f>
        <v>22513</v>
      </c>
      <c r="E32" s="41">
        <f>SUMIF('Final Project Dataset'!$I$2:$I$251,A32,'Final Project Dataset'!$H$2:$H$251)</f>
        <v>4324.1099999999997</v>
      </c>
      <c r="F32" s="41">
        <f t="shared" si="0"/>
        <v>11256.5</v>
      </c>
      <c r="G32" s="27">
        <f>_xlfn.MAXIFS('Final Project Dataset'!$B$2:$B$251,'Final Project Dataset'!$I$2:$I$251,A32)</f>
        <v>45843</v>
      </c>
      <c r="H32" s="23">
        <f t="shared" ca="1" si="1"/>
        <v>482</v>
      </c>
      <c r="I32" s="29">
        <f t="shared" si="2"/>
        <v>66</v>
      </c>
      <c r="J32" s="22" t="str">
        <f t="shared" si="3"/>
        <v>Standard</v>
      </c>
      <c r="K32" s="42">
        <f t="shared" si="4"/>
        <v>22513.000032</v>
      </c>
    </row>
    <row r="33" spans="1:11" x14ac:dyDescent="0.3">
      <c r="A33" s="22" t="s">
        <v>346</v>
      </c>
      <c r="B33" s="22" t="str">
        <f>INDEX('Final Project Dataset'!$K$2:$K$251,MATCH(A33,'Final Project Dataset'!$I$2:$I$251,0))</f>
        <v>Vihaan Chauhan</v>
      </c>
      <c r="C33" s="29">
        <f>COUNTIF('Final Project Dataset'!$I$2:$I$251,A33)</f>
        <v>2</v>
      </c>
      <c r="D33" s="41">
        <f>SUMIF('Final Project Dataset'!$I$2:$I$251,A33,'Final Project Dataset'!$F$2:$F$251)</f>
        <v>61299</v>
      </c>
      <c r="E33" s="41">
        <f>SUMIF('Final Project Dataset'!$I$2:$I$251,A33,'Final Project Dataset'!$H$2:$H$251)</f>
        <v>8132.0599999999995</v>
      </c>
      <c r="F33" s="41">
        <f t="shared" si="0"/>
        <v>30649.5</v>
      </c>
      <c r="G33" s="27">
        <f>_xlfn.MAXIFS('Final Project Dataset'!$B$2:$B$251,'Final Project Dataset'!$I$2:$I$251,A33)</f>
        <v>45872</v>
      </c>
      <c r="H33" s="23">
        <f t="shared" ca="1" si="1"/>
        <v>453</v>
      </c>
      <c r="I33" s="29">
        <f t="shared" si="2"/>
        <v>35</v>
      </c>
      <c r="J33" s="22" t="str">
        <f t="shared" si="3"/>
        <v>Mid-Value</v>
      </c>
      <c r="K33" s="42">
        <f t="shared" si="4"/>
        <v>61299.000032999997</v>
      </c>
    </row>
    <row r="34" spans="1:11" x14ac:dyDescent="0.3">
      <c r="A34" s="22" t="s">
        <v>165</v>
      </c>
      <c r="B34" s="22" t="str">
        <f>INDEX('Final Project Dataset'!$K$2:$K$251,MATCH(A34,'Final Project Dataset'!$I$2:$I$251,0))</f>
        <v>Kavya Singh</v>
      </c>
      <c r="C34" s="29">
        <f>COUNTIF('Final Project Dataset'!$I$2:$I$251,A34)</f>
        <v>6</v>
      </c>
      <c r="D34" s="41">
        <f>SUMIF('Final Project Dataset'!$I$2:$I$251,A34,'Final Project Dataset'!$F$2:$F$251)</f>
        <v>98788</v>
      </c>
      <c r="E34" s="41">
        <f>SUMIF('Final Project Dataset'!$I$2:$I$251,A34,'Final Project Dataset'!$H$2:$H$251)</f>
        <v>14311.869999999999</v>
      </c>
      <c r="F34" s="41">
        <f t="shared" si="0"/>
        <v>16464.666666666668</v>
      </c>
      <c r="G34" s="27">
        <f>_xlfn.MAXIFS('Final Project Dataset'!$B$2:$B$251,'Final Project Dataset'!$I$2:$I$251,A34)</f>
        <v>45991</v>
      </c>
      <c r="H34" s="23">
        <f t="shared" ca="1" si="1"/>
        <v>334</v>
      </c>
      <c r="I34" s="29">
        <f t="shared" si="2"/>
        <v>17</v>
      </c>
      <c r="J34" s="22" t="str">
        <f t="shared" si="3"/>
        <v>Mid-Value</v>
      </c>
      <c r="K34" s="42">
        <f t="shared" si="4"/>
        <v>98788.000033999997</v>
      </c>
    </row>
    <row r="35" spans="1:11" x14ac:dyDescent="0.3">
      <c r="A35" s="22" t="s">
        <v>116</v>
      </c>
      <c r="B35" s="22" t="str">
        <f>INDEX('Final Project Dataset'!$K$2:$K$251,MATCH(A35,'Final Project Dataset'!$I$2:$I$251,0))</f>
        <v>Vihaan Iyer</v>
      </c>
      <c r="C35" s="29">
        <f>COUNTIF('Final Project Dataset'!$I$2:$I$251,A35)</f>
        <v>4</v>
      </c>
      <c r="D35" s="41">
        <f>SUMIF('Final Project Dataset'!$I$2:$I$251,A35,'Final Project Dataset'!$F$2:$F$251)</f>
        <v>20658</v>
      </c>
      <c r="E35" s="41">
        <f>SUMIF('Final Project Dataset'!$I$2:$I$251,A35,'Final Project Dataset'!$H$2:$H$251)</f>
        <v>4125.7</v>
      </c>
      <c r="F35" s="41">
        <f t="shared" si="0"/>
        <v>5164.5</v>
      </c>
      <c r="G35" s="27">
        <f>_xlfn.MAXIFS('Final Project Dataset'!$B$2:$B$251,'Final Project Dataset'!$I$2:$I$251,A35)</f>
        <v>46002</v>
      </c>
      <c r="H35" s="23">
        <f t="shared" ca="1" si="1"/>
        <v>323</v>
      </c>
      <c r="I35" s="29">
        <f t="shared" si="2"/>
        <v>70</v>
      </c>
      <c r="J35" s="22" t="str">
        <f t="shared" si="3"/>
        <v>Standard</v>
      </c>
      <c r="K35" s="42">
        <f t="shared" si="4"/>
        <v>20658.000035000001</v>
      </c>
    </row>
    <row r="36" spans="1:11" x14ac:dyDescent="0.3">
      <c r="A36" s="22" t="s">
        <v>298</v>
      </c>
      <c r="B36" s="22" t="str">
        <f>INDEX('Final Project Dataset'!$K$2:$K$251,MATCH(A36,'Final Project Dataset'!$I$2:$I$251,0))</f>
        <v>Anjali Patel</v>
      </c>
      <c r="C36" s="29">
        <f>COUNTIF('Final Project Dataset'!$I$2:$I$251,A36)</f>
        <v>4</v>
      </c>
      <c r="D36" s="41">
        <f>SUMIF('Final Project Dataset'!$I$2:$I$251,A36,'Final Project Dataset'!$F$2:$F$251)</f>
        <v>139087</v>
      </c>
      <c r="E36" s="41">
        <f>SUMIF('Final Project Dataset'!$I$2:$I$251,A36,'Final Project Dataset'!$H$2:$H$251)</f>
        <v>19635.71</v>
      </c>
      <c r="F36" s="41">
        <f t="shared" si="0"/>
        <v>34771.75</v>
      </c>
      <c r="G36" s="27">
        <f>_xlfn.MAXIFS('Final Project Dataset'!$B$2:$B$251,'Final Project Dataset'!$I$2:$I$251,A36)</f>
        <v>45981</v>
      </c>
      <c r="H36" s="23">
        <f t="shared" ca="1" si="1"/>
        <v>344</v>
      </c>
      <c r="I36" s="29">
        <f t="shared" si="2"/>
        <v>6</v>
      </c>
      <c r="J36" s="22" t="str">
        <f t="shared" si="3"/>
        <v>High-Value</v>
      </c>
      <c r="K36" s="42">
        <f t="shared" si="4"/>
        <v>139087.00003600001</v>
      </c>
    </row>
    <row r="37" spans="1:11" x14ac:dyDescent="0.3">
      <c r="A37" s="22" t="s">
        <v>414</v>
      </c>
      <c r="B37" s="22" t="str">
        <f>INDEX('Final Project Dataset'!$K$2:$K$251,MATCH(A37,'Final Project Dataset'!$I$2:$I$251,0))</f>
        <v>Vihaan Gupta</v>
      </c>
      <c r="C37" s="29">
        <f>COUNTIF('Final Project Dataset'!$I$2:$I$251,A37)</f>
        <v>2</v>
      </c>
      <c r="D37" s="41">
        <f>SUMIF('Final Project Dataset'!$I$2:$I$251,A37,'Final Project Dataset'!$F$2:$F$251)</f>
        <v>42429</v>
      </c>
      <c r="E37" s="41">
        <f>SUMIF('Final Project Dataset'!$I$2:$I$251,A37,'Final Project Dataset'!$H$2:$H$251)</f>
        <v>8157.96</v>
      </c>
      <c r="F37" s="41">
        <f t="shared" si="0"/>
        <v>21214.5</v>
      </c>
      <c r="G37" s="27">
        <f>_xlfn.MAXIFS('Final Project Dataset'!$B$2:$B$251,'Final Project Dataset'!$I$2:$I$251,A37)</f>
        <v>45988</v>
      </c>
      <c r="H37" s="23">
        <f t="shared" ca="1" si="1"/>
        <v>337</v>
      </c>
      <c r="I37" s="29">
        <f t="shared" si="2"/>
        <v>50</v>
      </c>
      <c r="J37" s="22" t="str">
        <f t="shared" si="3"/>
        <v>Standard</v>
      </c>
      <c r="K37" s="42">
        <f t="shared" si="4"/>
        <v>42429.000036999998</v>
      </c>
    </row>
    <row r="38" spans="1:11" x14ac:dyDescent="0.3">
      <c r="A38" s="22" t="s">
        <v>126</v>
      </c>
      <c r="B38" s="22" t="str">
        <f>INDEX('Final Project Dataset'!$K$2:$K$251,MATCH(A38,'Final Project Dataset'!$I$2:$I$251,0))</f>
        <v>Riya Bhatt</v>
      </c>
      <c r="C38" s="29">
        <f>COUNTIF('Final Project Dataset'!$I$2:$I$251,A38)</f>
        <v>3</v>
      </c>
      <c r="D38" s="41">
        <f>SUMIF('Final Project Dataset'!$I$2:$I$251,A38,'Final Project Dataset'!$F$2:$F$251)</f>
        <v>72587</v>
      </c>
      <c r="E38" s="41">
        <f>SUMIF('Final Project Dataset'!$I$2:$I$251,A38,'Final Project Dataset'!$H$2:$H$251)</f>
        <v>8715.25</v>
      </c>
      <c r="F38" s="41">
        <f t="shared" si="0"/>
        <v>24195.666666666668</v>
      </c>
      <c r="G38" s="27">
        <f>_xlfn.MAXIFS('Final Project Dataset'!$B$2:$B$251,'Final Project Dataset'!$I$2:$I$251,A38)</f>
        <v>45794</v>
      </c>
      <c r="H38" s="23">
        <f t="shared" ca="1" si="1"/>
        <v>531</v>
      </c>
      <c r="I38" s="29">
        <f t="shared" si="2"/>
        <v>29</v>
      </c>
      <c r="J38" s="22" t="str">
        <f t="shared" si="3"/>
        <v>Mid-Value</v>
      </c>
      <c r="K38" s="42">
        <f t="shared" si="4"/>
        <v>72587.000037999998</v>
      </c>
    </row>
    <row r="39" spans="1:11" x14ac:dyDescent="0.3">
      <c r="A39" s="22" t="s">
        <v>260</v>
      </c>
      <c r="B39" s="22" t="str">
        <f>INDEX('Final Project Dataset'!$K$2:$K$251,MATCH(A39,'Final Project Dataset'!$I$2:$I$251,0))</f>
        <v>Karan Desai</v>
      </c>
      <c r="C39" s="29">
        <f>COUNTIF('Final Project Dataset'!$I$2:$I$251,A39)</f>
        <v>3</v>
      </c>
      <c r="D39" s="41">
        <f>SUMIF('Final Project Dataset'!$I$2:$I$251,A39,'Final Project Dataset'!$F$2:$F$251)</f>
        <v>52989</v>
      </c>
      <c r="E39" s="41">
        <f>SUMIF('Final Project Dataset'!$I$2:$I$251,A39,'Final Project Dataset'!$H$2:$H$251)</f>
        <v>8007.06</v>
      </c>
      <c r="F39" s="41">
        <f t="shared" si="0"/>
        <v>17663</v>
      </c>
      <c r="G39" s="27">
        <f>_xlfn.MAXIFS('Final Project Dataset'!$B$2:$B$251,'Final Project Dataset'!$I$2:$I$251,A39)</f>
        <v>45936</v>
      </c>
      <c r="H39" s="23">
        <f t="shared" ca="1" si="1"/>
        <v>389</v>
      </c>
      <c r="I39" s="29">
        <f t="shared" si="2"/>
        <v>41</v>
      </c>
      <c r="J39" s="22" t="str">
        <f t="shared" si="3"/>
        <v>Standard</v>
      </c>
      <c r="K39" s="42">
        <f t="shared" si="4"/>
        <v>52989.000038999999</v>
      </c>
    </row>
    <row r="40" spans="1:11" x14ac:dyDescent="0.3">
      <c r="A40" s="22" t="s">
        <v>248</v>
      </c>
      <c r="B40" s="22" t="str">
        <f>INDEX('Final Project Dataset'!$K$2:$K$251,MATCH(A40,'Final Project Dataset'!$I$2:$I$251,0))</f>
        <v>Pooja Desai</v>
      </c>
      <c r="C40" s="29">
        <f>COUNTIF('Final Project Dataset'!$I$2:$I$251,A40)</f>
        <v>3</v>
      </c>
      <c r="D40" s="41">
        <f>SUMIF('Final Project Dataset'!$I$2:$I$251,A40,'Final Project Dataset'!$F$2:$F$251)</f>
        <v>71953</v>
      </c>
      <c r="E40" s="41">
        <f>SUMIF('Final Project Dataset'!$I$2:$I$251,A40,'Final Project Dataset'!$H$2:$H$251)</f>
        <v>10938.25</v>
      </c>
      <c r="F40" s="41">
        <f t="shared" ref="F40:F71" si="9">D40/C40</f>
        <v>23984.333333333332</v>
      </c>
      <c r="G40" s="27">
        <f>_xlfn.MAXIFS('Final Project Dataset'!$B$2:$B$251,'Final Project Dataset'!$I$2:$I$251,A40)</f>
        <v>45890</v>
      </c>
      <c r="H40" s="23">
        <f t="shared" ref="H40:H71" ca="1" si="10">TODAY()-G40</f>
        <v>435</v>
      </c>
      <c r="I40" s="29">
        <f t="shared" ref="I40:I71" si="11">RANK(D40,$D$8:$D$86)</f>
        <v>31</v>
      </c>
      <c r="J40" s="22" t="str">
        <f t="shared" ref="J40:J71" si="12">IF(D40&gt;=$B$4,"High-Value",IF(D40&gt;=PERCENTILE($D$8:$D$86,0.5),"Mid-Value","Standard"))</f>
        <v>Mid-Value</v>
      </c>
      <c r="K40" s="42">
        <f t="shared" ref="K40:K71" si="13">D40+ROW()/1000000</f>
        <v>71953.000039999999</v>
      </c>
    </row>
    <row r="41" spans="1:11" x14ac:dyDescent="0.3">
      <c r="A41" s="22" t="s">
        <v>184</v>
      </c>
      <c r="B41" s="22" t="str">
        <f>INDEX('Final Project Dataset'!$K$2:$K$251,MATCH(A41,'Final Project Dataset'!$I$2:$I$251,0))</f>
        <v>Meera Sharma</v>
      </c>
      <c r="C41" s="29">
        <f>COUNTIF('Final Project Dataset'!$I$2:$I$251,A41)</f>
        <v>3</v>
      </c>
      <c r="D41" s="41">
        <f>SUMIF('Final Project Dataset'!$I$2:$I$251,A41,'Final Project Dataset'!$F$2:$F$251)</f>
        <v>113537</v>
      </c>
      <c r="E41" s="41">
        <f>SUMIF('Final Project Dataset'!$I$2:$I$251,A41,'Final Project Dataset'!$H$2:$H$251)</f>
        <v>10834.560000000001</v>
      </c>
      <c r="F41" s="41">
        <f t="shared" si="9"/>
        <v>37845.666666666664</v>
      </c>
      <c r="G41" s="27">
        <f>_xlfn.MAXIFS('Final Project Dataset'!$B$2:$B$251,'Final Project Dataset'!$I$2:$I$251,A41)</f>
        <v>45993</v>
      </c>
      <c r="H41" s="23">
        <f t="shared" ca="1" si="10"/>
        <v>332</v>
      </c>
      <c r="I41" s="29">
        <f t="shared" si="11"/>
        <v>12</v>
      </c>
      <c r="J41" s="22" t="str">
        <f t="shared" si="12"/>
        <v>High-Value</v>
      </c>
      <c r="K41" s="42">
        <f t="shared" si="13"/>
        <v>113537.00004100001</v>
      </c>
    </row>
    <row r="42" spans="1:11" x14ac:dyDescent="0.3">
      <c r="A42" s="22" t="s">
        <v>211</v>
      </c>
      <c r="B42" s="22" t="str">
        <f>INDEX('Final Project Dataset'!$K$2:$K$251,MATCH(A42,'Final Project Dataset'!$I$2:$I$251,0))</f>
        <v>Karan Iyer</v>
      </c>
      <c r="C42" s="29">
        <f>COUNTIF('Final Project Dataset'!$I$2:$I$251,A42)</f>
        <v>3</v>
      </c>
      <c r="D42" s="41">
        <f>SUMIF('Final Project Dataset'!$I$2:$I$251,A42,'Final Project Dataset'!$F$2:$F$251)</f>
        <v>104542</v>
      </c>
      <c r="E42" s="41">
        <f>SUMIF('Final Project Dataset'!$I$2:$I$251,A42,'Final Project Dataset'!$H$2:$H$251)</f>
        <v>20387.8</v>
      </c>
      <c r="F42" s="41">
        <f t="shared" si="9"/>
        <v>34847.333333333336</v>
      </c>
      <c r="G42" s="27">
        <f>_xlfn.MAXIFS('Final Project Dataset'!$B$2:$B$251,'Final Project Dataset'!$I$2:$I$251,A42)</f>
        <v>45995</v>
      </c>
      <c r="H42" s="23">
        <f t="shared" ca="1" si="10"/>
        <v>330</v>
      </c>
      <c r="I42" s="29">
        <f t="shared" si="11"/>
        <v>15</v>
      </c>
      <c r="J42" s="22" t="str">
        <f t="shared" si="12"/>
        <v>High-Value</v>
      </c>
      <c r="K42" s="42">
        <f t="shared" si="13"/>
        <v>104542.000042</v>
      </c>
    </row>
    <row r="43" spans="1:11" x14ac:dyDescent="0.3">
      <c r="A43" s="22" t="s">
        <v>235</v>
      </c>
      <c r="B43" s="22" t="str">
        <f>INDEX('Final Project Dataset'!$K$2:$K$251,MATCH(A43,'Final Project Dataset'!$I$2:$I$251,0))</f>
        <v>Riya Desai</v>
      </c>
      <c r="C43" s="29">
        <f>COUNTIF('Final Project Dataset'!$I$2:$I$251,A43)</f>
        <v>6</v>
      </c>
      <c r="D43" s="41">
        <f>SUMIF('Final Project Dataset'!$I$2:$I$251,A43,'Final Project Dataset'!$F$2:$F$251)</f>
        <v>109213</v>
      </c>
      <c r="E43" s="41">
        <f>SUMIF('Final Project Dataset'!$I$2:$I$251,A43,'Final Project Dataset'!$H$2:$H$251)</f>
        <v>19813.849999999999</v>
      </c>
      <c r="F43" s="41">
        <f t="shared" si="9"/>
        <v>18202.166666666668</v>
      </c>
      <c r="G43" s="27">
        <f>_xlfn.MAXIFS('Final Project Dataset'!$B$2:$B$251,'Final Project Dataset'!$I$2:$I$251,A43)</f>
        <v>45992</v>
      </c>
      <c r="H43" s="23">
        <f t="shared" ca="1" si="10"/>
        <v>333</v>
      </c>
      <c r="I43" s="29">
        <f t="shared" si="11"/>
        <v>14</v>
      </c>
      <c r="J43" s="22" t="str">
        <f t="shared" si="12"/>
        <v>High-Value</v>
      </c>
      <c r="K43" s="42">
        <f t="shared" si="13"/>
        <v>109213.00004299999</v>
      </c>
    </row>
    <row r="44" spans="1:11" x14ac:dyDescent="0.3">
      <c r="A44" s="22" t="s">
        <v>207</v>
      </c>
      <c r="B44" s="22" t="str">
        <f>INDEX('Final Project Dataset'!$K$2:$K$251,MATCH(A44,'Final Project Dataset'!$I$2:$I$251,0))</f>
        <v>Rohan Kapoor</v>
      </c>
      <c r="C44" s="29">
        <f>COUNTIF('Final Project Dataset'!$I$2:$I$251,A44)</f>
        <v>1</v>
      </c>
      <c r="D44" s="41">
        <f>SUMIF('Final Project Dataset'!$I$2:$I$251,A44,'Final Project Dataset'!$F$2:$F$251)</f>
        <v>48960</v>
      </c>
      <c r="E44" s="41">
        <f>SUMIF('Final Project Dataset'!$I$2:$I$251,A44,'Final Project Dataset'!$H$2:$H$251)</f>
        <v>5703.16</v>
      </c>
      <c r="F44" s="41">
        <f t="shared" si="9"/>
        <v>48960</v>
      </c>
      <c r="G44" s="27">
        <f>_xlfn.MAXIFS('Final Project Dataset'!$B$2:$B$251,'Final Project Dataset'!$I$2:$I$251,A44)</f>
        <v>45725</v>
      </c>
      <c r="H44" s="23">
        <f t="shared" ca="1" si="10"/>
        <v>600</v>
      </c>
      <c r="I44" s="29">
        <f t="shared" si="11"/>
        <v>44</v>
      </c>
      <c r="J44" s="22" t="str">
        <f t="shared" si="12"/>
        <v>Standard</v>
      </c>
      <c r="K44" s="42">
        <f t="shared" si="13"/>
        <v>48960.000044</v>
      </c>
    </row>
    <row r="45" spans="1:11" x14ac:dyDescent="0.3">
      <c r="A45" s="22" t="s">
        <v>460</v>
      </c>
      <c r="B45" s="22" t="str">
        <f>INDEX('Final Project Dataset'!$K$2:$K$251,MATCH(A45,'Final Project Dataset'!$I$2:$I$251,0))</f>
        <v>Pooja Bhatt</v>
      </c>
      <c r="C45" s="29">
        <f>COUNTIF('Final Project Dataset'!$I$2:$I$251,A45)</f>
        <v>3</v>
      </c>
      <c r="D45" s="41">
        <f>SUMIF('Final Project Dataset'!$I$2:$I$251,A45,'Final Project Dataset'!$F$2:$F$251)</f>
        <v>70423</v>
      </c>
      <c r="E45" s="41">
        <f>SUMIF('Final Project Dataset'!$I$2:$I$251,A45,'Final Project Dataset'!$H$2:$H$251)</f>
        <v>8036.7199999999993</v>
      </c>
      <c r="F45" s="41">
        <f t="shared" si="9"/>
        <v>23474.333333333332</v>
      </c>
      <c r="G45" s="27">
        <f>_xlfn.MAXIFS('Final Project Dataset'!$B$2:$B$251,'Final Project Dataset'!$I$2:$I$251,A45)</f>
        <v>46008</v>
      </c>
      <c r="H45" s="23">
        <f t="shared" ca="1" si="10"/>
        <v>317</v>
      </c>
      <c r="I45" s="29">
        <f t="shared" si="11"/>
        <v>32</v>
      </c>
      <c r="J45" s="22" t="str">
        <f t="shared" si="12"/>
        <v>Mid-Value</v>
      </c>
      <c r="K45" s="42">
        <f t="shared" si="13"/>
        <v>70423.000044999993</v>
      </c>
    </row>
    <row r="46" spans="1:11" x14ac:dyDescent="0.3">
      <c r="A46" s="22" t="s">
        <v>437</v>
      </c>
      <c r="B46" s="22" t="str">
        <f>INDEX('Final Project Dataset'!$K$2:$K$251,MATCH(A46,'Final Project Dataset'!$I$2:$I$251,0))</f>
        <v>Neha Kapoor</v>
      </c>
      <c r="C46" s="29">
        <f>COUNTIF('Final Project Dataset'!$I$2:$I$251,A46)</f>
        <v>1</v>
      </c>
      <c r="D46" s="41">
        <f>SUMIF('Final Project Dataset'!$I$2:$I$251,A46,'Final Project Dataset'!$F$2:$F$251)</f>
        <v>61563</v>
      </c>
      <c r="E46" s="41">
        <f>SUMIF('Final Project Dataset'!$I$2:$I$251,A46,'Final Project Dataset'!$H$2:$H$251)</f>
        <v>6224.26</v>
      </c>
      <c r="F46" s="41">
        <f t="shared" si="9"/>
        <v>61563</v>
      </c>
      <c r="G46" s="27">
        <f>_xlfn.MAXIFS('Final Project Dataset'!$B$2:$B$251,'Final Project Dataset'!$I$2:$I$251,A46)</f>
        <v>45954</v>
      </c>
      <c r="H46" s="23">
        <f t="shared" ca="1" si="10"/>
        <v>371</v>
      </c>
      <c r="I46" s="29">
        <f t="shared" si="11"/>
        <v>34</v>
      </c>
      <c r="J46" s="22" t="str">
        <f t="shared" si="12"/>
        <v>Mid-Value</v>
      </c>
      <c r="K46" s="42">
        <f t="shared" si="13"/>
        <v>61563.000046000001</v>
      </c>
    </row>
    <row r="47" spans="1:11" x14ac:dyDescent="0.3">
      <c r="A47" s="22" t="s">
        <v>321</v>
      </c>
      <c r="B47" s="22" t="str">
        <f>INDEX('Final Project Dataset'!$K$2:$K$251,MATCH(A47,'Final Project Dataset'!$I$2:$I$251,0))</f>
        <v>Rohan Desai</v>
      </c>
      <c r="C47" s="29">
        <f>COUNTIF('Final Project Dataset'!$I$2:$I$251,A47)</f>
        <v>3</v>
      </c>
      <c r="D47" s="41">
        <f>SUMIF('Final Project Dataset'!$I$2:$I$251,A47,'Final Project Dataset'!$F$2:$F$251)</f>
        <v>21793</v>
      </c>
      <c r="E47" s="41">
        <f>SUMIF('Final Project Dataset'!$I$2:$I$251,A47,'Final Project Dataset'!$H$2:$H$251)</f>
        <v>3865.4900000000002</v>
      </c>
      <c r="F47" s="41">
        <f t="shared" si="9"/>
        <v>7264.333333333333</v>
      </c>
      <c r="G47" s="27">
        <f>_xlfn.MAXIFS('Final Project Dataset'!$B$2:$B$251,'Final Project Dataset'!$I$2:$I$251,A47)</f>
        <v>45947</v>
      </c>
      <c r="H47" s="23">
        <f t="shared" ca="1" si="10"/>
        <v>378</v>
      </c>
      <c r="I47" s="29">
        <f t="shared" si="11"/>
        <v>68</v>
      </c>
      <c r="J47" s="22" t="str">
        <f t="shared" si="12"/>
        <v>Standard</v>
      </c>
      <c r="K47" s="42">
        <f t="shared" si="13"/>
        <v>21793.000047000001</v>
      </c>
    </row>
    <row r="48" spans="1:11" x14ac:dyDescent="0.3">
      <c r="A48" s="22" t="s">
        <v>89</v>
      </c>
      <c r="B48" s="22" t="str">
        <f>INDEX('Final Project Dataset'!$K$2:$K$251,MATCH(A48,'Final Project Dataset'!$I$2:$I$251,0))</f>
        <v>Priya Sharma</v>
      </c>
      <c r="C48" s="29">
        <f>COUNTIF('Final Project Dataset'!$I$2:$I$251,A48)</f>
        <v>3</v>
      </c>
      <c r="D48" s="41">
        <f>SUMIF('Final Project Dataset'!$I$2:$I$251,A48,'Final Project Dataset'!$F$2:$F$251)</f>
        <v>58367</v>
      </c>
      <c r="E48" s="41">
        <f>SUMIF('Final Project Dataset'!$I$2:$I$251,A48,'Final Project Dataset'!$H$2:$H$251)</f>
        <v>9970.0499999999993</v>
      </c>
      <c r="F48" s="41">
        <f t="shared" si="9"/>
        <v>19455.666666666668</v>
      </c>
      <c r="G48" s="27">
        <f>_xlfn.MAXIFS('Final Project Dataset'!$B$2:$B$251,'Final Project Dataset'!$I$2:$I$251,A48)</f>
        <v>45947</v>
      </c>
      <c r="H48" s="23">
        <f t="shared" ca="1" si="10"/>
        <v>378</v>
      </c>
      <c r="I48" s="29">
        <f t="shared" si="11"/>
        <v>38</v>
      </c>
      <c r="J48" s="22" t="str">
        <f t="shared" si="12"/>
        <v>Mid-Value</v>
      </c>
      <c r="K48" s="42">
        <f t="shared" si="13"/>
        <v>58367.000048000002</v>
      </c>
    </row>
    <row r="49" spans="1:11" x14ac:dyDescent="0.3">
      <c r="A49" s="22" t="s">
        <v>104</v>
      </c>
      <c r="B49" s="22" t="str">
        <f>INDEX('Final Project Dataset'!$K$2:$K$251,MATCH(A49,'Final Project Dataset'!$I$2:$I$251,0))</f>
        <v>Amit Trivedi</v>
      </c>
      <c r="C49" s="29">
        <f>COUNTIF('Final Project Dataset'!$I$2:$I$251,A49)</f>
        <v>2</v>
      </c>
      <c r="D49" s="41">
        <f>SUMIF('Final Project Dataset'!$I$2:$I$251,A49,'Final Project Dataset'!$F$2:$F$251)</f>
        <v>40187</v>
      </c>
      <c r="E49" s="41">
        <f>SUMIF('Final Project Dataset'!$I$2:$I$251,A49,'Final Project Dataset'!$H$2:$H$251)</f>
        <v>7561.73</v>
      </c>
      <c r="F49" s="41">
        <f t="shared" si="9"/>
        <v>20093.5</v>
      </c>
      <c r="G49" s="27">
        <f>_xlfn.MAXIFS('Final Project Dataset'!$B$2:$B$251,'Final Project Dataset'!$I$2:$I$251,A49)</f>
        <v>45711</v>
      </c>
      <c r="H49" s="23">
        <f t="shared" ca="1" si="10"/>
        <v>614</v>
      </c>
      <c r="I49" s="29">
        <f t="shared" si="11"/>
        <v>52</v>
      </c>
      <c r="J49" s="22" t="str">
        <f t="shared" si="12"/>
        <v>Standard</v>
      </c>
      <c r="K49" s="42">
        <f t="shared" si="13"/>
        <v>40187.000049000002</v>
      </c>
    </row>
    <row r="50" spans="1:11" x14ac:dyDescent="0.3">
      <c r="A50" s="22" t="s">
        <v>393</v>
      </c>
      <c r="B50" s="22" t="str">
        <f>INDEX('Final Project Dataset'!$K$2:$K$251,MATCH(A50,'Final Project Dataset'!$I$2:$I$251,0))</f>
        <v>Rohan Patel</v>
      </c>
      <c r="C50" s="29">
        <f>COUNTIF('Final Project Dataset'!$I$2:$I$251,A50)</f>
        <v>2</v>
      </c>
      <c r="D50" s="41">
        <f>SUMIF('Final Project Dataset'!$I$2:$I$251,A50,'Final Project Dataset'!$F$2:$F$251)</f>
        <v>44592</v>
      </c>
      <c r="E50" s="41">
        <f>SUMIF('Final Project Dataset'!$I$2:$I$251,A50,'Final Project Dataset'!$H$2:$H$251)</f>
        <v>5745.94</v>
      </c>
      <c r="F50" s="41">
        <f t="shared" si="9"/>
        <v>22296</v>
      </c>
      <c r="G50" s="27">
        <f>_xlfn.MAXIFS('Final Project Dataset'!$B$2:$B$251,'Final Project Dataset'!$I$2:$I$251,A50)</f>
        <v>45895</v>
      </c>
      <c r="H50" s="23">
        <f t="shared" ca="1" si="10"/>
        <v>430</v>
      </c>
      <c r="I50" s="29">
        <f t="shared" si="11"/>
        <v>47</v>
      </c>
      <c r="J50" s="22" t="str">
        <f t="shared" si="12"/>
        <v>Standard</v>
      </c>
      <c r="K50" s="42">
        <f t="shared" si="13"/>
        <v>44592.000050000002</v>
      </c>
    </row>
    <row r="51" spans="1:11" x14ac:dyDescent="0.3">
      <c r="A51" s="22" t="s">
        <v>408</v>
      </c>
      <c r="B51" s="22" t="str">
        <f>INDEX('Final Project Dataset'!$K$2:$K$251,MATCH(A51,'Final Project Dataset'!$I$2:$I$251,0))</f>
        <v>Aditya Sharma</v>
      </c>
      <c r="C51" s="29">
        <f>COUNTIF('Final Project Dataset'!$I$2:$I$251,A51)</f>
        <v>1</v>
      </c>
      <c r="D51" s="41">
        <f>SUMIF('Final Project Dataset'!$I$2:$I$251,A51,'Final Project Dataset'!$F$2:$F$251)</f>
        <v>23588</v>
      </c>
      <c r="E51" s="41">
        <f>SUMIF('Final Project Dataset'!$I$2:$I$251,A51,'Final Project Dataset'!$H$2:$H$251)</f>
        <v>2867.28</v>
      </c>
      <c r="F51" s="41">
        <f t="shared" si="9"/>
        <v>23588</v>
      </c>
      <c r="G51" s="27">
        <f>_xlfn.MAXIFS('Final Project Dataset'!$B$2:$B$251,'Final Project Dataset'!$I$2:$I$251,A51)</f>
        <v>45920</v>
      </c>
      <c r="H51" s="23">
        <f t="shared" ca="1" si="10"/>
        <v>405</v>
      </c>
      <c r="I51" s="29">
        <f t="shared" si="11"/>
        <v>64</v>
      </c>
      <c r="J51" s="22" t="str">
        <f t="shared" si="12"/>
        <v>Standard</v>
      </c>
      <c r="K51" s="42">
        <f t="shared" si="13"/>
        <v>23588.000050999999</v>
      </c>
    </row>
    <row r="52" spans="1:11" x14ac:dyDescent="0.3">
      <c r="A52" s="22" t="s">
        <v>339</v>
      </c>
      <c r="B52" s="22" t="str">
        <f>INDEX('Final Project Dataset'!$K$2:$K$251,MATCH(A52,'Final Project Dataset'!$I$2:$I$251,0))</f>
        <v>Meera Gupta</v>
      </c>
      <c r="C52" s="29">
        <f>COUNTIF('Final Project Dataset'!$I$2:$I$251,A52)</f>
        <v>3</v>
      </c>
      <c r="D52" s="41">
        <f>SUMIF('Final Project Dataset'!$I$2:$I$251,A52,'Final Project Dataset'!$F$2:$F$251)</f>
        <v>49246</v>
      </c>
      <c r="E52" s="41">
        <f>SUMIF('Final Project Dataset'!$I$2:$I$251,A52,'Final Project Dataset'!$H$2:$H$251)</f>
        <v>7239.8</v>
      </c>
      <c r="F52" s="41">
        <f t="shared" si="9"/>
        <v>16415.333333333332</v>
      </c>
      <c r="G52" s="27">
        <f>_xlfn.MAXIFS('Final Project Dataset'!$B$2:$B$251,'Final Project Dataset'!$I$2:$I$251,A52)</f>
        <v>45907</v>
      </c>
      <c r="H52" s="23">
        <f t="shared" ca="1" si="10"/>
        <v>418</v>
      </c>
      <c r="I52" s="29">
        <f t="shared" si="11"/>
        <v>43</v>
      </c>
      <c r="J52" s="22" t="str">
        <f t="shared" si="12"/>
        <v>Standard</v>
      </c>
      <c r="K52" s="42">
        <f t="shared" si="13"/>
        <v>49246.000052000003</v>
      </c>
    </row>
    <row r="53" spans="1:11" x14ac:dyDescent="0.3">
      <c r="A53" s="22" t="s">
        <v>343</v>
      </c>
      <c r="B53" s="22" t="str">
        <f>INDEX('Final Project Dataset'!$K$2:$K$251,MATCH(A53,'Final Project Dataset'!$I$2:$I$251,0))</f>
        <v>Priya Iyer</v>
      </c>
      <c r="C53" s="29">
        <f>COUNTIF('Final Project Dataset'!$I$2:$I$251,A53)</f>
        <v>4</v>
      </c>
      <c r="D53" s="41">
        <f>SUMIF('Final Project Dataset'!$I$2:$I$251,A53,'Final Project Dataset'!$F$2:$F$251)</f>
        <v>173827</v>
      </c>
      <c r="E53" s="41">
        <f>SUMIF('Final Project Dataset'!$I$2:$I$251,A53,'Final Project Dataset'!$H$2:$H$251)</f>
        <v>28056.649999999998</v>
      </c>
      <c r="F53" s="41">
        <f t="shared" si="9"/>
        <v>43456.75</v>
      </c>
      <c r="G53" s="27">
        <f>_xlfn.MAXIFS('Final Project Dataset'!$B$2:$B$251,'Final Project Dataset'!$I$2:$I$251,A53)</f>
        <v>46021</v>
      </c>
      <c r="H53" s="23">
        <f t="shared" ca="1" si="10"/>
        <v>304</v>
      </c>
      <c r="I53" s="29">
        <f t="shared" si="11"/>
        <v>4</v>
      </c>
      <c r="J53" s="22" t="str">
        <f t="shared" si="12"/>
        <v>High-Value</v>
      </c>
      <c r="K53" s="42">
        <f t="shared" si="13"/>
        <v>173827.000053</v>
      </c>
    </row>
    <row r="54" spans="1:11" x14ac:dyDescent="0.3">
      <c r="A54" s="22" t="s">
        <v>309</v>
      </c>
      <c r="B54" s="22" t="str">
        <f>INDEX('Final Project Dataset'!$K$2:$K$251,MATCH(A54,'Final Project Dataset'!$I$2:$I$251,0))</f>
        <v>Divya Trivedi</v>
      </c>
      <c r="C54" s="29">
        <f>COUNTIF('Final Project Dataset'!$I$2:$I$251,A54)</f>
        <v>3</v>
      </c>
      <c r="D54" s="41">
        <f>SUMIF('Final Project Dataset'!$I$2:$I$251,A54,'Final Project Dataset'!$F$2:$F$251)</f>
        <v>62858</v>
      </c>
      <c r="E54" s="41">
        <f>SUMIF('Final Project Dataset'!$I$2:$I$251,A54,'Final Project Dataset'!$H$2:$H$251)</f>
        <v>10133.51</v>
      </c>
      <c r="F54" s="41">
        <f t="shared" si="9"/>
        <v>20952.666666666668</v>
      </c>
      <c r="G54" s="27">
        <f>_xlfn.MAXIFS('Final Project Dataset'!$B$2:$B$251,'Final Project Dataset'!$I$2:$I$251,A54)</f>
        <v>45983</v>
      </c>
      <c r="H54" s="23">
        <f t="shared" ca="1" si="10"/>
        <v>342</v>
      </c>
      <c r="I54" s="29">
        <f t="shared" si="11"/>
        <v>33</v>
      </c>
      <c r="J54" s="22" t="str">
        <f t="shared" si="12"/>
        <v>Mid-Value</v>
      </c>
      <c r="K54" s="42">
        <f t="shared" si="13"/>
        <v>62858.000053999996</v>
      </c>
    </row>
    <row r="55" spans="1:11" x14ac:dyDescent="0.3">
      <c r="A55" s="22" t="s">
        <v>270</v>
      </c>
      <c r="B55" s="22" t="str">
        <f>INDEX('Final Project Dataset'!$K$2:$K$251,MATCH(A55,'Final Project Dataset'!$I$2:$I$251,0))</f>
        <v>Riya Sharma</v>
      </c>
      <c r="C55" s="29">
        <f>COUNTIF('Final Project Dataset'!$I$2:$I$251,A55)</f>
        <v>3</v>
      </c>
      <c r="D55" s="41">
        <f>SUMIF('Final Project Dataset'!$I$2:$I$251,A55,'Final Project Dataset'!$F$2:$F$251)</f>
        <v>102264</v>
      </c>
      <c r="E55" s="41">
        <f>SUMIF('Final Project Dataset'!$I$2:$I$251,A55,'Final Project Dataset'!$H$2:$H$251)</f>
        <v>19891.03</v>
      </c>
      <c r="F55" s="41">
        <f t="shared" si="9"/>
        <v>34088</v>
      </c>
      <c r="G55" s="27">
        <f>_xlfn.MAXIFS('Final Project Dataset'!$B$2:$B$251,'Final Project Dataset'!$I$2:$I$251,A55)</f>
        <v>45932</v>
      </c>
      <c r="H55" s="23">
        <f t="shared" ca="1" si="10"/>
        <v>393</v>
      </c>
      <c r="I55" s="29">
        <f t="shared" si="11"/>
        <v>16</v>
      </c>
      <c r="J55" s="22" t="str">
        <f t="shared" si="12"/>
        <v>High-Value</v>
      </c>
      <c r="K55" s="42">
        <f t="shared" si="13"/>
        <v>102264.000055</v>
      </c>
    </row>
    <row r="56" spans="1:11" x14ac:dyDescent="0.3">
      <c r="A56" s="22" t="s">
        <v>277</v>
      </c>
      <c r="B56" s="22" t="str">
        <f>INDEX('Final Project Dataset'!$K$2:$K$251,MATCH(A56,'Final Project Dataset'!$I$2:$I$251,0))</f>
        <v>Ishita Reddy</v>
      </c>
      <c r="C56" s="29">
        <f>COUNTIF('Final Project Dataset'!$I$2:$I$251,A56)</f>
        <v>4</v>
      </c>
      <c r="D56" s="41">
        <f>SUMIF('Final Project Dataset'!$I$2:$I$251,A56,'Final Project Dataset'!$F$2:$F$251)</f>
        <v>75393</v>
      </c>
      <c r="E56" s="41">
        <f>SUMIF('Final Project Dataset'!$I$2:$I$251,A56,'Final Project Dataset'!$H$2:$H$251)</f>
        <v>13920.61</v>
      </c>
      <c r="F56" s="41">
        <f t="shared" si="9"/>
        <v>18848.25</v>
      </c>
      <c r="G56" s="27">
        <f>_xlfn.MAXIFS('Final Project Dataset'!$B$2:$B$251,'Final Project Dataset'!$I$2:$I$251,A56)</f>
        <v>45906</v>
      </c>
      <c r="H56" s="23">
        <f t="shared" ca="1" si="10"/>
        <v>419</v>
      </c>
      <c r="I56" s="29">
        <f t="shared" si="11"/>
        <v>26</v>
      </c>
      <c r="J56" s="22" t="str">
        <f t="shared" si="12"/>
        <v>Mid-Value</v>
      </c>
      <c r="K56" s="42">
        <f t="shared" si="13"/>
        <v>75393.000056000004</v>
      </c>
    </row>
    <row r="57" spans="1:11" x14ac:dyDescent="0.3">
      <c r="A57" s="22" t="s">
        <v>372</v>
      </c>
      <c r="B57" s="22" t="str">
        <f>INDEX('Final Project Dataset'!$K$2:$K$251,MATCH(A57,'Final Project Dataset'!$I$2:$I$251,0))</f>
        <v>Rahul Sharma</v>
      </c>
      <c r="C57" s="29">
        <f>COUNTIF('Final Project Dataset'!$I$2:$I$251,A57)</f>
        <v>2</v>
      </c>
      <c r="D57" s="41">
        <f>SUMIF('Final Project Dataset'!$I$2:$I$251,A57,'Final Project Dataset'!$F$2:$F$251)</f>
        <v>28407</v>
      </c>
      <c r="E57" s="41">
        <f>SUMIF('Final Project Dataset'!$I$2:$I$251,A57,'Final Project Dataset'!$H$2:$H$251)</f>
        <v>6556.0199999999995</v>
      </c>
      <c r="F57" s="41">
        <f t="shared" si="9"/>
        <v>14203.5</v>
      </c>
      <c r="G57" s="27">
        <f>_xlfn.MAXIFS('Final Project Dataset'!$B$2:$B$251,'Final Project Dataset'!$I$2:$I$251,A57)</f>
        <v>45926</v>
      </c>
      <c r="H57" s="23">
        <f t="shared" ca="1" si="10"/>
        <v>399</v>
      </c>
      <c r="I57" s="29">
        <f t="shared" si="11"/>
        <v>59</v>
      </c>
      <c r="J57" s="22" t="str">
        <f t="shared" si="12"/>
        <v>Standard</v>
      </c>
      <c r="K57" s="42">
        <f t="shared" si="13"/>
        <v>28407.000057000001</v>
      </c>
    </row>
    <row r="58" spans="1:11" x14ac:dyDescent="0.3">
      <c r="A58" s="22" t="s">
        <v>141</v>
      </c>
      <c r="B58" s="22" t="str">
        <f>INDEX('Final Project Dataset'!$K$2:$K$251,MATCH(A58,'Final Project Dataset'!$I$2:$I$251,0))</f>
        <v>Manish Trivedi</v>
      </c>
      <c r="C58" s="29">
        <f>COUNTIF('Final Project Dataset'!$I$2:$I$251,A58)</f>
        <v>2</v>
      </c>
      <c r="D58" s="41">
        <f>SUMIF('Final Project Dataset'!$I$2:$I$251,A58,'Final Project Dataset'!$F$2:$F$251)</f>
        <v>5199</v>
      </c>
      <c r="E58" s="41">
        <f>SUMIF('Final Project Dataset'!$I$2:$I$251,A58,'Final Project Dataset'!$H$2:$H$251)</f>
        <v>1550.25</v>
      </c>
      <c r="F58" s="41">
        <f t="shared" si="9"/>
        <v>2599.5</v>
      </c>
      <c r="G58" s="27">
        <f>_xlfn.MAXIFS('Final Project Dataset'!$B$2:$B$251,'Final Project Dataset'!$I$2:$I$251,A58)</f>
        <v>45837</v>
      </c>
      <c r="H58" s="23">
        <f t="shared" ca="1" si="10"/>
        <v>488</v>
      </c>
      <c r="I58" s="29">
        <f t="shared" si="11"/>
        <v>77</v>
      </c>
      <c r="J58" s="22" t="str">
        <f t="shared" si="12"/>
        <v>Standard</v>
      </c>
      <c r="K58" s="42">
        <f t="shared" si="13"/>
        <v>5199.0000579999996</v>
      </c>
    </row>
    <row r="59" spans="1:11" x14ac:dyDescent="0.3">
      <c r="A59" s="22" t="s">
        <v>98</v>
      </c>
      <c r="B59" s="22" t="str">
        <f>INDEX('Final Project Dataset'!$K$2:$K$251,MATCH(A59,'Final Project Dataset'!$I$2:$I$251,0))</f>
        <v>Manish Nair</v>
      </c>
      <c r="C59" s="29">
        <f>COUNTIF('Final Project Dataset'!$I$2:$I$251,A59)</f>
        <v>3</v>
      </c>
      <c r="D59" s="41">
        <f>SUMIF('Final Project Dataset'!$I$2:$I$251,A59,'Final Project Dataset'!$F$2:$F$251)</f>
        <v>43560</v>
      </c>
      <c r="E59" s="41">
        <f>SUMIF('Final Project Dataset'!$I$2:$I$251,A59,'Final Project Dataset'!$H$2:$H$251)</f>
        <v>9060.4500000000007</v>
      </c>
      <c r="F59" s="41">
        <f t="shared" si="9"/>
        <v>14520</v>
      </c>
      <c r="G59" s="27">
        <f>_xlfn.MAXIFS('Final Project Dataset'!$B$2:$B$251,'Final Project Dataset'!$I$2:$I$251,A59)</f>
        <v>45779</v>
      </c>
      <c r="H59" s="23">
        <f t="shared" ca="1" si="10"/>
        <v>546</v>
      </c>
      <c r="I59" s="29">
        <f t="shared" si="11"/>
        <v>48</v>
      </c>
      <c r="J59" s="22" t="str">
        <f t="shared" si="12"/>
        <v>Standard</v>
      </c>
      <c r="K59" s="42">
        <f t="shared" si="13"/>
        <v>43560.000058999998</v>
      </c>
    </row>
    <row r="60" spans="1:11" x14ac:dyDescent="0.3">
      <c r="A60" s="22" t="s">
        <v>123</v>
      </c>
      <c r="B60" s="22" t="str">
        <f>INDEX('Final Project Dataset'!$K$2:$K$251,MATCH(A60,'Final Project Dataset'!$I$2:$I$251,0))</f>
        <v>Amit Iyer</v>
      </c>
      <c r="C60" s="29">
        <f>COUNTIF('Final Project Dataset'!$I$2:$I$251,A60)</f>
        <v>5</v>
      </c>
      <c r="D60" s="41">
        <f>SUMIF('Final Project Dataset'!$I$2:$I$251,A60,'Final Project Dataset'!$F$2:$F$251)</f>
        <v>82033</v>
      </c>
      <c r="E60" s="41">
        <f>SUMIF('Final Project Dataset'!$I$2:$I$251,A60,'Final Project Dataset'!$H$2:$H$251)</f>
        <v>12752.57</v>
      </c>
      <c r="F60" s="41">
        <f t="shared" si="9"/>
        <v>16406.599999999999</v>
      </c>
      <c r="G60" s="27">
        <f>_xlfn.MAXIFS('Final Project Dataset'!$B$2:$B$251,'Final Project Dataset'!$I$2:$I$251,A60)</f>
        <v>46014</v>
      </c>
      <c r="H60" s="23">
        <f t="shared" ca="1" si="10"/>
        <v>311</v>
      </c>
      <c r="I60" s="29">
        <f t="shared" si="11"/>
        <v>20</v>
      </c>
      <c r="J60" s="22" t="str">
        <f t="shared" si="12"/>
        <v>Mid-Value</v>
      </c>
      <c r="K60" s="42">
        <f t="shared" si="13"/>
        <v>82033.000060000006</v>
      </c>
    </row>
    <row r="61" spans="1:11" x14ac:dyDescent="0.3">
      <c r="A61" s="22" t="s">
        <v>92</v>
      </c>
      <c r="B61" s="22" t="str">
        <f>INDEX('Final Project Dataset'!$K$2:$K$251,MATCH(A61,'Final Project Dataset'!$I$2:$I$251,0))</f>
        <v>Pooja Iyer</v>
      </c>
      <c r="C61" s="29">
        <f>COUNTIF('Final Project Dataset'!$I$2:$I$251,A61)</f>
        <v>5</v>
      </c>
      <c r="D61" s="41">
        <f>SUMIF('Final Project Dataset'!$I$2:$I$251,A61,'Final Project Dataset'!$F$2:$F$251)</f>
        <v>77404</v>
      </c>
      <c r="E61" s="41">
        <f>SUMIF('Final Project Dataset'!$I$2:$I$251,A61,'Final Project Dataset'!$H$2:$H$251)</f>
        <v>13205.05</v>
      </c>
      <c r="F61" s="41">
        <f t="shared" si="9"/>
        <v>15480.8</v>
      </c>
      <c r="G61" s="27">
        <f>_xlfn.MAXIFS('Final Project Dataset'!$B$2:$B$251,'Final Project Dataset'!$I$2:$I$251,A61)</f>
        <v>45951</v>
      </c>
      <c r="H61" s="23">
        <f t="shared" ca="1" si="10"/>
        <v>374</v>
      </c>
      <c r="I61" s="29">
        <f t="shared" si="11"/>
        <v>25</v>
      </c>
      <c r="J61" s="22" t="str">
        <f t="shared" si="12"/>
        <v>Mid-Value</v>
      </c>
      <c r="K61" s="42">
        <f t="shared" si="13"/>
        <v>77404.000060999999</v>
      </c>
    </row>
    <row r="62" spans="1:11" x14ac:dyDescent="0.3">
      <c r="A62" s="22" t="s">
        <v>251</v>
      </c>
      <c r="B62" s="22" t="str">
        <f>INDEX('Final Project Dataset'!$K$2:$K$251,MATCH(A62,'Final Project Dataset'!$I$2:$I$251,0))</f>
        <v>Anjali Chauhan</v>
      </c>
      <c r="C62" s="29">
        <f>COUNTIF('Final Project Dataset'!$I$2:$I$251,A62)</f>
        <v>3</v>
      </c>
      <c r="D62" s="41">
        <f>SUMIF('Final Project Dataset'!$I$2:$I$251,A62,'Final Project Dataset'!$F$2:$F$251)</f>
        <v>46402</v>
      </c>
      <c r="E62" s="41">
        <f>SUMIF('Final Project Dataset'!$I$2:$I$251,A62,'Final Project Dataset'!$H$2:$H$251)</f>
        <v>6160.02</v>
      </c>
      <c r="F62" s="41">
        <f t="shared" si="9"/>
        <v>15467.333333333334</v>
      </c>
      <c r="G62" s="27">
        <f>_xlfn.MAXIFS('Final Project Dataset'!$B$2:$B$251,'Final Project Dataset'!$I$2:$I$251,A62)</f>
        <v>45920</v>
      </c>
      <c r="H62" s="23">
        <f t="shared" ca="1" si="10"/>
        <v>405</v>
      </c>
      <c r="I62" s="29">
        <f t="shared" si="11"/>
        <v>45</v>
      </c>
      <c r="J62" s="22" t="str">
        <f t="shared" si="12"/>
        <v>Standard</v>
      </c>
      <c r="K62" s="42">
        <f t="shared" si="13"/>
        <v>46402.000061999999</v>
      </c>
    </row>
    <row r="63" spans="1:11" x14ac:dyDescent="0.3">
      <c r="A63" s="22" t="s">
        <v>158</v>
      </c>
      <c r="B63" s="22" t="str">
        <f>INDEX('Final Project Dataset'!$K$2:$K$251,MATCH(A63,'Final Project Dataset'!$I$2:$I$251,0))</f>
        <v>Riya Iyer</v>
      </c>
      <c r="C63" s="29">
        <f>COUNTIF('Final Project Dataset'!$I$2:$I$251,A63)</f>
        <v>3</v>
      </c>
      <c r="D63" s="41">
        <f>SUMIF('Final Project Dataset'!$I$2:$I$251,A63,'Final Project Dataset'!$F$2:$F$251)</f>
        <v>80079</v>
      </c>
      <c r="E63" s="41">
        <f>SUMIF('Final Project Dataset'!$I$2:$I$251,A63,'Final Project Dataset'!$H$2:$H$251)</f>
        <v>11305.550000000001</v>
      </c>
      <c r="F63" s="41">
        <f t="shared" si="9"/>
        <v>26693</v>
      </c>
      <c r="G63" s="27">
        <f>_xlfn.MAXIFS('Final Project Dataset'!$B$2:$B$251,'Final Project Dataset'!$I$2:$I$251,A63)</f>
        <v>45949</v>
      </c>
      <c r="H63" s="23">
        <f t="shared" ca="1" si="10"/>
        <v>376</v>
      </c>
      <c r="I63" s="29">
        <f t="shared" si="11"/>
        <v>23</v>
      </c>
      <c r="J63" s="22" t="str">
        <f t="shared" si="12"/>
        <v>Mid-Value</v>
      </c>
      <c r="K63" s="42">
        <f t="shared" si="13"/>
        <v>80079.000062999999</v>
      </c>
    </row>
    <row r="64" spans="1:11" x14ac:dyDescent="0.3">
      <c r="A64" s="22" t="s">
        <v>214</v>
      </c>
      <c r="B64" s="22" t="str">
        <f>INDEX('Final Project Dataset'!$K$2:$K$251,MATCH(A64,'Final Project Dataset'!$I$2:$I$251,0))</f>
        <v>Anjali Kapoor</v>
      </c>
      <c r="C64" s="29">
        <f>COUNTIF('Final Project Dataset'!$I$2:$I$251,A64)</f>
        <v>2</v>
      </c>
      <c r="D64" s="41">
        <f>SUMIF('Final Project Dataset'!$I$2:$I$251,A64,'Final Project Dataset'!$F$2:$F$251)</f>
        <v>58374</v>
      </c>
      <c r="E64" s="41">
        <f>SUMIF('Final Project Dataset'!$I$2:$I$251,A64,'Final Project Dataset'!$H$2:$H$251)</f>
        <v>5775.46</v>
      </c>
      <c r="F64" s="41">
        <f t="shared" si="9"/>
        <v>29187</v>
      </c>
      <c r="G64" s="27">
        <f>_xlfn.MAXIFS('Final Project Dataset'!$B$2:$B$251,'Final Project Dataset'!$I$2:$I$251,A64)</f>
        <v>45885</v>
      </c>
      <c r="H64" s="23">
        <f t="shared" ca="1" si="10"/>
        <v>440</v>
      </c>
      <c r="I64" s="29">
        <f t="shared" si="11"/>
        <v>37</v>
      </c>
      <c r="J64" s="22" t="str">
        <f t="shared" si="12"/>
        <v>Mid-Value</v>
      </c>
      <c r="K64" s="42">
        <f t="shared" si="13"/>
        <v>58374.000064</v>
      </c>
    </row>
    <row r="65" spans="1:11" x14ac:dyDescent="0.3">
      <c r="A65" s="22" t="s">
        <v>204</v>
      </c>
      <c r="B65" s="22" t="str">
        <f>INDEX('Final Project Dataset'!$K$2:$K$251,MATCH(A65,'Final Project Dataset'!$I$2:$I$251,0))</f>
        <v>Aditya Iyer</v>
      </c>
      <c r="C65" s="29">
        <f>COUNTIF('Final Project Dataset'!$I$2:$I$251,A65)</f>
        <v>5</v>
      </c>
      <c r="D65" s="41">
        <f>SUMIF('Final Project Dataset'!$I$2:$I$251,A65,'Final Project Dataset'!$F$2:$F$251)</f>
        <v>118548</v>
      </c>
      <c r="E65" s="41">
        <f>SUMIF('Final Project Dataset'!$I$2:$I$251,A65,'Final Project Dataset'!$H$2:$H$251)</f>
        <v>18036.54</v>
      </c>
      <c r="F65" s="41">
        <f t="shared" si="9"/>
        <v>23709.599999999999</v>
      </c>
      <c r="G65" s="27">
        <f>_xlfn.MAXIFS('Final Project Dataset'!$B$2:$B$251,'Final Project Dataset'!$I$2:$I$251,A65)</f>
        <v>45939</v>
      </c>
      <c r="H65" s="23">
        <f t="shared" ca="1" si="10"/>
        <v>386</v>
      </c>
      <c r="I65" s="29">
        <f t="shared" si="11"/>
        <v>10</v>
      </c>
      <c r="J65" s="22" t="str">
        <f t="shared" si="12"/>
        <v>High-Value</v>
      </c>
      <c r="K65" s="42">
        <f t="shared" si="13"/>
        <v>118548.000065</v>
      </c>
    </row>
    <row r="66" spans="1:11" x14ac:dyDescent="0.3">
      <c r="A66" s="22" t="s">
        <v>356</v>
      </c>
      <c r="B66" s="22" t="str">
        <f>INDEX('Final Project Dataset'!$K$2:$K$251,MATCH(A66,'Final Project Dataset'!$I$2:$I$251,0))</f>
        <v>Nikhil Reddy</v>
      </c>
      <c r="C66" s="29">
        <f>COUNTIF('Final Project Dataset'!$I$2:$I$251,A66)</f>
        <v>1</v>
      </c>
      <c r="D66" s="41">
        <f>SUMIF('Final Project Dataset'!$I$2:$I$251,A66,'Final Project Dataset'!$F$2:$F$251)</f>
        <v>10338</v>
      </c>
      <c r="E66" s="41">
        <f>SUMIF('Final Project Dataset'!$I$2:$I$251,A66,'Final Project Dataset'!$H$2:$H$251)</f>
        <v>2133.27</v>
      </c>
      <c r="F66" s="41">
        <f t="shared" si="9"/>
        <v>10338</v>
      </c>
      <c r="G66" s="27">
        <f>_xlfn.MAXIFS('Final Project Dataset'!$B$2:$B$251,'Final Project Dataset'!$I$2:$I$251,A66)</f>
        <v>45853</v>
      </c>
      <c r="H66" s="23">
        <f t="shared" ca="1" si="10"/>
        <v>472</v>
      </c>
      <c r="I66" s="29">
        <f t="shared" si="11"/>
        <v>73</v>
      </c>
      <c r="J66" s="22" t="str">
        <f t="shared" si="12"/>
        <v>Standard</v>
      </c>
      <c r="K66" s="42">
        <f t="shared" si="13"/>
        <v>10338.000066000001</v>
      </c>
    </row>
    <row r="67" spans="1:11" x14ac:dyDescent="0.3">
      <c r="A67" s="22" t="s">
        <v>230</v>
      </c>
      <c r="B67" s="22" t="str">
        <f>INDEX('Final Project Dataset'!$K$2:$K$251,MATCH(A67,'Final Project Dataset'!$I$2:$I$251,0))</f>
        <v>Divya Bhatt</v>
      </c>
      <c r="C67" s="29">
        <f>COUNTIF('Final Project Dataset'!$I$2:$I$251,A67)</f>
        <v>3</v>
      </c>
      <c r="D67" s="41">
        <f>SUMIF('Final Project Dataset'!$I$2:$I$251,A67,'Final Project Dataset'!$F$2:$F$251)</f>
        <v>22474</v>
      </c>
      <c r="E67" s="41">
        <f>SUMIF('Final Project Dataset'!$I$2:$I$251,A67,'Final Project Dataset'!$H$2:$H$251)</f>
        <v>4500.75</v>
      </c>
      <c r="F67" s="41">
        <f t="shared" si="9"/>
        <v>7491.333333333333</v>
      </c>
      <c r="G67" s="27">
        <f>_xlfn.MAXIFS('Final Project Dataset'!$B$2:$B$251,'Final Project Dataset'!$I$2:$I$251,A67)</f>
        <v>46014</v>
      </c>
      <c r="H67" s="23">
        <f t="shared" ca="1" si="10"/>
        <v>311</v>
      </c>
      <c r="I67" s="29">
        <f t="shared" si="11"/>
        <v>67</v>
      </c>
      <c r="J67" s="22" t="str">
        <f t="shared" si="12"/>
        <v>Standard</v>
      </c>
      <c r="K67" s="42">
        <f t="shared" si="13"/>
        <v>22474.000067000001</v>
      </c>
    </row>
    <row r="68" spans="1:11" x14ac:dyDescent="0.3">
      <c r="A68" s="22" t="s">
        <v>129</v>
      </c>
      <c r="B68" s="22" t="str">
        <f>INDEX('Final Project Dataset'!$K$2:$K$251,MATCH(A68,'Final Project Dataset'!$I$2:$I$251,0))</f>
        <v>Rahul Chauhan</v>
      </c>
      <c r="C68" s="29">
        <f>COUNTIF('Final Project Dataset'!$I$2:$I$251,A68)</f>
        <v>2</v>
      </c>
      <c r="D68" s="41">
        <f>SUMIF('Final Project Dataset'!$I$2:$I$251,A68,'Final Project Dataset'!$F$2:$F$251)</f>
        <v>6320</v>
      </c>
      <c r="E68" s="41">
        <f>SUMIF('Final Project Dataset'!$I$2:$I$251,A68,'Final Project Dataset'!$H$2:$H$251)</f>
        <v>1562.68</v>
      </c>
      <c r="F68" s="41">
        <f t="shared" si="9"/>
        <v>3160</v>
      </c>
      <c r="G68" s="27">
        <f>_xlfn.MAXIFS('Final Project Dataset'!$B$2:$B$251,'Final Project Dataset'!$I$2:$I$251,A68)</f>
        <v>45747</v>
      </c>
      <c r="H68" s="23">
        <f t="shared" ca="1" si="10"/>
        <v>578</v>
      </c>
      <c r="I68" s="29">
        <f t="shared" si="11"/>
        <v>75</v>
      </c>
      <c r="J68" s="22" t="str">
        <f t="shared" si="12"/>
        <v>Standard</v>
      </c>
      <c r="K68" s="42">
        <f t="shared" si="13"/>
        <v>6320.0000680000003</v>
      </c>
    </row>
    <row r="69" spans="1:11" x14ac:dyDescent="0.3">
      <c r="A69" s="22" t="s">
        <v>263</v>
      </c>
      <c r="B69" s="22" t="str">
        <f>INDEX('Final Project Dataset'!$K$2:$K$251,MATCH(A69,'Final Project Dataset'!$I$2:$I$251,0))</f>
        <v>Manish Joshi</v>
      </c>
      <c r="C69" s="29">
        <f>COUNTIF('Final Project Dataset'!$I$2:$I$251,A69)</f>
        <v>4</v>
      </c>
      <c r="D69" s="41">
        <f>SUMIF('Final Project Dataset'!$I$2:$I$251,A69,'Final Project Dataset'!$F$2:$F$251)</f>
        <v>81014</v>
      </c>
      <c r="E69" s="41">
        <f>SUMIF('Final Project Dataset'!$I$2:$I$251,A69,'Final Project Dataset'!$H$2:$H$251)</f>
        <v>10819.93</v>
      </c>
      <c r="F69" s="41">
        <f t="shared" si="9"/>
        <v>20253.5</v>
      </c>
      <c r="G69" s="27">
        <f>_xlfn.MAXIFS('Final Project Dataset'!$B$2:$B$251,'Final Project Dataset'!$I$2:$I$251,A69)</f>
        <v>46009</v>
      </c>
      <c r="H69" s="23">
        <f t="shared" ca="1" si="10"/>
        <v>316</v>
      </c>
      <c r="I69" s="29">
        <f t="shared" si="11"/>
        <v>21</v>
      </c>
      <c r="J69" s="22" t="str">
        <f t="shared" si="12"/>
        <v>Mid-Value</v>
      </c>
      <c r="K69" s="42">
        <f t="shared" si="13"/>
        <v>81014.000069000002</v>
      </c>
    </row>
    <row r="70" spans="1:11" x14ac:dyDescent="0.3">
      <c r="A70" s="22" t="s">
        <v>190</v>
      </c>
      <c r="B70" s="22" t="str">
        <f>INDEX('Final Project Dataset'!$K$2:$K$251,MATCH(A70,'Final Project Dataset'!$I$2:$I$251,0))</f>
        <v>Pooja Mehta</v>
      </c>
      <c r="C70" s="29">
        <f>COUNTIF('Final Project Dataset'!$I$2:$I$251,A70)</f>
        <v>4</v>
      </c>
      <c r="D70" s="41">
        <f>SUMIF('Final Project Dataset'!$I$2:$I$251,A70,'Final Project Dataset'!$F$2:$F$251)</f>
        <v>111437</v>
      </c>
      <c r="E70" s="41">
        <f>SUMIF('Final Project Dataset'!$I$2:$I$251,A70,'Final Project Dataset'!$H$2:$H$251)</f>
        <v>18066.55</v>
      </c>
      <c r="F70" s="41">
        <f t="shared" si="9"/>
        <v>27859.25</v>
      </c>
      <c r="G70" s="27">
        <f>_xlfn.MAXIFS('Final Project Dataset'!$B$2:$B$251,'Final Project Dataset'!$I$2:$I$251,A70)</f>
        <v>45985</v>
      </c>
      <c r="H70" s="23">
        <f t="shared" ca="1" si="10"/>
        <v>340</v>
      </c>
      <c r="I70" s="29">
        <f t="shared" si="11"/>
        <v>13</v>
      </c>
      <c r="J70" s="22" t="str">
        <f t="shared" si="12"/>
        <v>High-Value</v>
      </c>
      <c r="K70" s="42">
        <f t="shared" si="13"/>
        <v>111437.00006999999</v>
      </c>
    </row>
    <row r="71" spans="1:11" x14ac:dyDescent="0.3">
      <c r="A71" s="22" t="s">
        <v>255</v>
      </c>
      <c r="B71" s="22" t="str">
        <f>INDEX('Final Project Dataset'!$K$2:$K$251,MATCH(A71,'Final Project Dataset'!$I$2:$I$251,0))</f>
        <v>Meera Singh</v>
      </c>
      <c r="C71" s="29">
        <f>COUNTIF('Final Project Dataset'!$I$2:$I$251,A71)</f>
        <v>3</v>
      </c>
      <c r="D71" s="41">
        <f>SUMIF('Final Project Dataset'!$I$2:$I$251,A71,'Final Project Dataset'!$F$2:$F$251)</f>
        <v>22955</v>
      </c>
      <c r="E71" s="41">
        <f>SUMIF('Final Project Dataset'!$I$2:$I$251,A71,'Final Project Dataset'!$H$2:$H$251)</f>
        <v>4372.8099999999995</v>
      </c>
      <c r="F71" s="41">
        <f t="shared" si="9"/>
        <v>7651.666666666667</v>
      </c>
      <c r="G71" s="27">
        <f>_xlfn.MAXIFS('Final Project Dataset'!$B$2:$B$251,'Final Project Dataset'!$I$2:$I$251,A71)</f>
        <v>45845</v>
      </c>
      <c r="H71" s="23">
        <f t="shared" ca="1" si="10"/>
        <v>480</v>
      </c>
      <c r="I71" s="29">
        <f t="shared" si="11"/>
        <v>65</v>
      </c>
      <c r="J71" s="22" t="str">
        <f t="shared" si="12"/>
        <v>Standard</v>
      </c>
      <c r="K71" s="42">
        <f t="shared" si="13"/>
        <v>22955.000070999999</v>
      </c>
    </row>
    <row r="72" spans="1:11" x14ac:dyDescent="0.3">
      <c r="A72" s="22" t="s">
        <v>384</v>
      </c>
      <c r="B72" s="22" t="str">
        <f>INDEX('Final Project Dataset'!$K$2:$K$251,MATCH(A72,'Final Project Dataset'!$I$2:$I$251,0))</f>
        <v>Riya Singh</v>
      </c>
      <c r="C72" s="29">
        <f>COUNTIF('Final Project Dataset'!$I$2:$I$251,A72)</f>
        <v>2</v>
      </c>
      <c r="D72" s="41">
        <f>SUMIF('Final Project Dataset'!$I$2:$I$251,A72,'Final Project Dataset'!$F$2:$F$251)</f>
        <v>55450</v>
      </c>
      <c r="E72" s="41">
        <f>SUMIF('Final Project Dataset'!$I$2:$I$251,A72,'Final Project Dataset'!$H$2:$H$251)</f>
        <v>8259.41</v>
      </c>
      <c r="F72" s="41">
        <f t="shared" ref="F72:F86" si="14">D72/C72</f>
        <v>27725</v>
      </c>
      <c r="G72" s="27">
        <f>_xlfn.MAXIFS('Final Project Dataset'!$B$2:$B$251,'Final Project Dataset'!$I$2:$I$251,A72)</f>
        <v>45932</v>
      </c>
      <c r="H72" s="23">
        <f t="shared" ref="H72:H103" ca="1" si="15">TODAY()-G72</f>
        <v>393</v>
      </c>
      <c r="I72" s="29">
        <f t="shared" ref="I72:I86" si="16">RANK(D72,$D$8:$D$86)</f>
        <v>40</v>
      </c>
      <c r="J72" s="22" t="str">
        <f t="shared" ref="J72:J86" si="17">IF(D72&gt;=$B$4,"High-Value",IF(D72&gt;=PERCENTILE($D$8:$D$86,0.5),"Mid-Value","Standard"))</f>
        <v>Mid-Value</v>
      </c>
      <c r="K72" s="42">
        <f t="shared" ref="K72:K86" si="18">D72+ROW()/1000000</f>
        <v>55450.000072000003</v>
      </c>
    </row>
    <row r="73" spans="1:11" x14ac:dyDescent="0.3">
      <c r="A73" s="22" t="s">
        <v>135</v>
      </c>
      <c r="B73" s="22" t="str">
        <f>INDEX('Final Project Dataset'!$K$2:$K$251,MATCH(A73,'Final Project Dataset'!$I$2:$I$251,0))</f>
        <v>Sneha Mehta</v>
      </c>
      <c r="C73" s="29">
        <f>COUNTIF('Final Project Dataset'!$I$2:$I$251,A73)</f>
        <v>7</v>
      </c>
      <c r="D73" s="41">
        <f>SUMIF('Final Project Dataset'!$I$2:$I$251,A73,'Final Project Dataset'!$F$2:$F$251)</f>
        <v>60317</v>
      </c>
      <c r="E73" s="41">
        <f>SUMIF('Final Project Dataset'!$I$2:$I$251,A73,'Final Project Dataset'!$H$2:$H$251)</f>
        <v>12219.95</v>
      </c>
      <c r="F73" s="41">
        <f t="shared" si="14"/>
        <v>8616.7142857142862</v>
      </c>
      <c r="G73" s="27">
        <f>_xlfn.MAXIFS('Final Project Dataset'!$B$2:$B$251,'Final Project Dataset'!$I$2:$I$251,A73)</f>
        <v>45942</v>
      </c>
      <c r="H73" s="23">
        <f t="shared" ca="1" si="15"/>
        <v>383</v>
      </c>
      <c r="I73" s="29">
        <f t="shared" si="16"/>
        <v>36</v>
      </c>
      <c r="J73" s="22" t="str">
        <f t="shared" si="17"/>
        <v>Mid-Value</v>
      </c>
      <c r="K73" s="42">
        <f t="shared" si="18"/>
        <v>60317.000073000003</v>
      </c>
    </row>
    <row r="74" spans="1:11" x14ac:dyDescent="0.3">
      <c r="A74" s="22" t="s">
        <v>457</v>
      </c>
      <c r="B74" s="22" t="str">
        <f>INDEX('Final Project Dataset'!$K$2:$K$251,MATCH(A74,'Final Project Dataset'!$I$2:$I$251,0))</f>
        <v>Priya Singh</v>
      </c>
      <c r="C74" s="29">
        <f>COUNTIF('Final Project Dataset'!$I$2:$I$251,A74)</f>
        <v>1</v>
      </c>
      <c r="D74" s="41">
        <f>SUMIF('Final Project Dataset'!$I$2:$I$251,A74,'Final Project Dataset'!$F$2:$F$251)</f>
        <v>1900</v>
      </c>
      <c r="E74" s="41">
        <f>SUMIF('Final Project Dataset'!$I$2:$I$251,A74,'Final Project Dataset'!$H$2:$H$251)</f>
        <v>451.51</v>
      </c>
      <c r="F74" s="41">
        <f t="shared" si="14"/>
        <v>1900</v>
      </c>
      <c r="G74" s="27">
        <f>_xlfn.MAXIFS('Final Project Dataset'!$B$2:$B$251,'Final Project Dataset'!$I$2:$I$251,A74)</f>
        <v>45982</v>
      </c>
      <c r="H74" s="23">
        <f t="shared" ca="1" si="15"/>
        <v>343</v>
      </c>
      <c r="I74" s="29">
        <f t="shared" si="16"/>
        <v>79</v>
      </c>
      <c r="J74" s="22" t="str">
        <f t="shared" si="17"/>
        <v>Standard</v>
      </c>
      <c r="K74" s="42">
        <f t="shared" si="18"/>
        <v>1900.000074</v>
      </c>
    </row>
    <row r="75" spans="1:11" x14ac:dyDescent="0.3">
      <c r="A75" s="22" t="s">
        <v>119</v>
      </c>
      <c r="B75" s="22" t="str">
        <f>INDEX('Final Project Dataset'!$K$2:$K$251,MATCH(A75,'Final Project Dataset'!$I$2:$I$251,0))</f>
        <v>Aditya Reddy</v>
      </c>
      <c r="C75" s="29">
        <f>COUNTIF('Final Project Dataset'!$I$2:$I$251,A75)</f>
        <v>4</v>
      </c>
      <c r="D75" s="41">
        <f>SUMIF('Final Project Dataset'!$I$2:$I$251,A75,'Final Project Dataset'!$F$2:$F$251)</f>
        <v>34210</v>
      </c>
      <c r="E75" s="41">
        <f>SUMIF('Final Project Dataset'!$I$2:$I$251,A75,'Final Project Dataset'!$H$2:$H$251)</f>
        <v>5627.63</v>
      </c>
      <c r="F75" s="41">
        <f t="shared" si="14"/>
        <v>8552.5</v>
      </c>
      <c r="G75" s="27">
        <f>_xlfn.MAXIFS('Final Project Dataset'!$B$2:$B$251,'Final Project Dataset'!$I$2:$I$251,A75)</f>
        <v>45857</v>
      </c>
      <c r="H75" s="23">
        <f t="shared" ca="1" si="15"/>
        <v>468</v>
      </c>
      <c r="I75" s="29">
        <f t="shared" si="16"/>
        <v>54</v>
      </c>
      <c r="J75" s="22" t="str">
        <f t="shared" si="17"/>
        <v>Standard</v>
      </c>
      <c r="K75" s="42">
        <f t="shared" si="18"/>
        <v>34210.000075000004</v>
      </c>
    </row>
    <row r="76" spans="1:11" x14ac:dyDescent="0.3">
      <c r="A76" s="22" t="s">
        <v>148</v>
      </c>
      <c r="B76" s="22" t="str">
        <f>INDEX('Final Project Dataset'!$K$2:$K$251,MATCH(A76,'Final Project Dataset'!$I$2:$I$251,0))</f>
        <v>Kavya Patel</v>
      </c>
      <c r="C76" s="29">
        <f>COUNTIF('Final Project Dataset'!$I$2:$I$251,A76)</f>
        <v>4</v>
      </c>
      <c r="D76" s="41">
        <f>SUMIF('Final Project Dataset'!$I$2:$I$251,A76,'Final Project Dataset'!$F$2:$F$251)</f>
        <v>80938</v>
      </c>
      <c r="E76" s="41">
        <f>SUMIF('Final Project Dataset'!$I$2:$I$251,A76,'Final Project Dataset'!$H$2:$H$251)</f>
        <v>13649.75</v>
      </c>
      <c r="F76" s="41">
        <f t="shared" si="14"/>
        <v>20234.5</v>
      </c>
      <c r="G76" s="27">
        <f>_xlfn.MAXIFS('Final Project Dataset'!$B$2:$B$251,'Final Project Dataset'!$I$2:$I$251,A76)</f>
        <v>45921</v>
      </c>
      <c r="H76" s="23">
        <f t="shared" ca="1" si="15"/>
        <v>404</v>
      </c>
      <c r="I76" s="29">
        <f t="shared" si="16"/>
        <v>22</v>
      </c>
      <c r="J76" s="22" t="str">
        <f t="shared" si="17"/>
        <v>Mid-Value</v>
      </c>
      <c r="K76" s="42">
        <f t="shared" si="18"/>
        <v>80938.000075999997</v>
      </c>
    </row>
    <row r="77" spans="1:11" x14ac:dyDescent="0.3">
      <c r="A77" s="22" t="s">
        <v>328</v>
      </c>
      <c r="B77" s="22" t="str">
        <f>INDEX('Final Project Dataset'!$K$2:$K$251,MATCH(A77,'Final Project Dataset'!$I$2:$I$251,0))</f>
        <v>Neha Gupta</v>
      </c>
      <c r="C77" s="29">
        <f>COUNTIF('Final Project Dataset'!$I$2:$I$251,A77)</f>
        <v>2</v>
      </c>
      <c r="D77" s="41">
        <f>SUMIF('Final Project Dataset'!$I$2:$I$251,A77,'Final Project Dataset'!$F$2:$F$251)</f>
        <v>40766</v>
      </c>
      <c r="E77" s="41">
        <f>SUMIF('Final Project Dataset'!$I$2:$I$251,A77,'Final Project Dataset'!$H$2:$H$251)</f>
        <v>5251.74</v>
      </c>
      <c r="F77" s="41">
        <f t="shared" si="14"/>
        <v>20383</v>
      </c>
      <c r="G77" s="27">
        <f>_xlfn.MAXIFS('Final Project Dataset'!$B$2:$B$251,'Final Project Dataset'!$I$2:$I$251,A77)</f>
        <v>46014</v>
      </c>
      <c r="H77" s="23">
        <f t="shared" ca="1" si="15"/>
        <v>311</v>
      </c>
      <c r="I77" s="29">
        <f t="shared" si="16"/>
        <v>51</v>
      </c>
      <c r="J77" s="22" t="str">
        <f t="shared" si="17"/>
        <v>Standard</v>
      </c>
      <c r="K77" s="42">
        <f t="shared" si="18"/>
        <v>40766.000076999997</v>
      </c>
    </row>
    <row r="78" spans="1:11" x14ac:dyDescent="0.3">
      <c r="A78" s="22" t="s">
        <v>443</v>
      </c>
      <c r="B78" s="22" t="str">
        <f>INDEX('Final Project Dataset'!$K$2:$K$251,MATCH(A78,'Final Project Dataset'!$I$2:$I$251,0))</f>
        <v>Aditya Verma</v>
      </c>
      <c r="C78" s="29">
        <f>COUNTIF('Final Project Dataset'!$I$2:$I$251,A78)</f>
        <v>2</v>
      </c>
      <c r="D78" s="41">
        <f>SUMIF('Final Project Dataset'!$I$2:$I$251,A78,'Final Project Dataset'!$F$2:$F$251)</f>
        <v>24880</v>
      </c>
      <c r="E78" s="41">
        <f>SUMIF('Final Project Dataset'!$I$2:$I$251,A78,'Final Project Dataset'!$H$2:$H$251)</f>
        <v>3978.6000000000004</v>
      </c>
      <c r="F78" s="41">
        <f t="shared" si="14"/>
        <v>12440</v>
      </c>
      <c r="G78" s="27">
        <f>_xlfn.MAXIFS('Final Project Dataset'!$B$2:$B$251,'Final Project Dataset'!$I$2:$I$251,A78)</f>
        <v>46003</v>
      </c>
      <c r="H78" s="23">
        <f t="shared" ca="1" si="15"/>
        <v>322</v>
      </c>
      <c r="I78" s="29">
        <f t="shared" si="16"/>
        <v>62</v>
      </c>
      <c r="J78" s="22" t="str">
        <f t="shared" si="17"/>
        <v>Standard</v>
      </c>
      <c r="K78" s="42">
        <f t="shared" si="18"/>
        <v>24880.000078000001</v>
      </c>
    </row>
    <row r="79" spans="1:11" x14ac:dyDescent="0.3">
      <c r="A79" s="22" t="s">
        <v>238</v>
      </c>
      <c r="B79" s="22" t="str">
        <f>INDEX('Final Project Dataset'!$K$2:$K$251,MATCH(A79,'Final Project Dataset'!$I$2:$I$251,0))</f>
        <v>Nikhil Bhatt</v>
      </c>
      <c r="C79" s="29">
        <f>COUNTIF('Final Project Dataset'!$I$2:$I$251,A79)</f>
        <v>2</v>
      </c>
      <c r="D79" s="41">
        <f>SUMIF('Final Project Dataset'!$I$2:$I$251,A79,'Final Project Dataset'!$F$2:$F$251)</f>
        <v>30722</v>
      </c>
      <c r="E79" s="41">
        <f>SUMIF('Final Project Dataset'!$I$2:$I$251,A79,'Final Project Dataset'!$H$2:$H$251)</f>
        <v>6524.56</v>
      </c>
      <c r="F79" s="41">
        <f t="shared" si="14"/>
        <v>15361</v>
      </c>
      <c r="G79" s="27">
        <f>_xlfn.MAXIFS('Final Project Dataset'!$B$2:$B$251,'Final Project Dataset'!$I$2:$I$251,A79)</f>
        <v>45782</v>
      </c>
      <c r="H79" s="23">
        <f t="shared" ca="1" si="15"/>
        <v>543</v>
      </c>
      <c r="I79" s="29">
        <f t="shared" si="16"/>
        <v>55</v>
      </c>
      <c r="J79" s="22" t="str">
        <f t="shared" si="17"/>
        <v>Standard</v>
      </c>
      <c r="K79" s="42">
        <f t="shared" si="18"/>
        <v>30722.000079000001</v>
      </c>
    </row>
    <row r="80" spans="1:11" x14ac:dyDescent="0.3">
      <c r="A80" s="22" t="s">
        <v>101</v>
      </c>
      <c r="B80" s="22" t="str">
        <f>INDEX('Final Project Dataset'!$K$2:$K$251,MATCH(A80,'Final Project Dataset'!$I$2:$I$251,0))</f>
        <v>Anjali Bhatt</v>
      </c>
      <c r="C80" s="29">
        <f>COUNTIF('Final Project Dataset'!$I$2:$I$251,A80)</f>
        <v>4</v>
      </c>
      <c r="D80" s="41">
        <f>SUMIF('Final Project Dataset'!$I$2:$I$251,A80,'Final Project Dataset'!$F$2:$F$251)</f>
        <v>71986</v>
      </c>
      <c r="E80" s="41">
        <f>SUMIF('Final Project Dataset'!$I$2:$I$251,A80,'Final Project Dataset'!$H$2:$H$251)</f>
        <v>12750.72</v>
      </c>
      <c r="F80" s="41">
        <f t="shared" si="14"/>
        <v>17996.5</v>
      </c>
      <c r="G80" s="27">
        <f>_xlfn.MAXIFS('Final Project Dataset'!$B$2:$B$251,'Final Project Dataset'!$I$2:$I$251,A80)</f>
        <v>45838</v>
      </c>
      <c r="H80" s="23">
        <f t="shared" ca="1" si="15"/>
        <v>487</v>
      </c>
      <c r="I80" s="29">
        <f t="shared" si="16"/>
        <v>30</v>
      </c>
      <c r="J80" s="22" t="str">
        <f t="shared" si="17"/>
        <v>Mid-Value</v>
      </c>
      <c r="K80" s="42">
        <f t="shared" si="18"/>
        <v>71986.000079999998</v>
      </c>
    </row>
    <row r="81" spans="1:11" x14ac:dyDescent="0.3">
      <c r="A81" s="22" t="s">
        <v>181</v>
      </c>
      <c r="B81" s="22" t="str">
        <f>INDEX('Final Project Dataset'!$K$2:$K$251,MATCH(A81,'Final Project Dataset'!$I$2:$I$251,0))</f>
        <v>Nikhil Desai</v>
      </c>
      <c r="C81" s="29">
        <f>COUNTIF('Final Project Dataset'!$I$2:$I$251,A81)</f>
        <v>4</v>
      </c>
      <c r="D81" s="41">
        <f>SUMIF('Final Project Dataset'!$I$2:$I$251,A81,'Final Project Dataset'!$F$2:$F$251)</f>
        <v>73980</v>
      </c>
      <c r="E81" s="41">
        <f>SUMIF('Final Project Dataset'!$I$2:$I$251,A81,'Final Project Dataset'!$H$2:$H$251)</f>
        <v>9299.5</v>
      </c>
      <c r="F81" s="41">
        <f t="shared" si="14"/>
        <v>18495</v>
      </c>
      <c r="G81" s="27">
        <f>_xlfn.MAXIFS('Final Project Dataset'!$B$2:$B$251,'Final Project Dataset'!$I$2:$I$251,A81)</f>
        <v>45994</v>
      </c>
      <c r="H81" s="23">
        <f t="shared" ca="1" si="15"/>
        <v>331</v>
      </c>
      <c r="I81" s="29">
        <f t="shared" si="16"/>
        <v>27</v>
      </c>
      <c r="J81" s="22" t="str">
        <f t="shared" si="17"/>
        <v>Mid-Value</v>
      </c>
      <c r="K81" s="42">
        <f t="shared" si="18"/>
        <v>73980.000081000006</v>
      </c>
    </row>
    <row r="82" spans="1:11" x14ac:dyDescent="0.3">
      <c r="A82" s="22" t="s">
        <v>295</v>
      </c>
      <c r="B82" s="22" t="str">
        <f>INDEX('Final Project Dataset'!$K$2:$K$251,MATCH(A82,'Final Project Dataset'!$I$2:$I$251,0))</f>
        <v>Aarav Reddy</v>
      </c>
      <c r="C82" s="29">
        <f>COUNTIF('Final Project Dataset'!$I$2:$I$251,A82)</f>
        <v>3</v>
      </c>
      <c r="D82" s="41">
        <f>SUMIF('Final Project Dataset'!$I$2:$I$251,A82,'Final Project Dataset'!$F$2:$F$251)</f>
        <v>29182</v>
      </c>
      <c r="E82" s="41">
        <f>SUMIF('Final Project Dataset'!$I$2:$I$251,A82,'Final Project Dataset'!$H$2:$H$251)</f>
        <v>4260.4400000000005</v>
      </c>
      <c r="F82" s="41">
        <f t="shared" si="14"/>
        <v>9727.3333333333339</v>
      </c>
      <c r="G82" s="27">
        <f>_xlfn.MAXIFS('Final Project Dataset'!$B$2:$B$251,'Final Project Dataset'!$I$2:$I$251,A82)</f>
        <v>45941</v>
      </c>
      <c r="H82" s="23">
        <f t="shared" ca="1" si="15"/>
        <v>384</v>
      </c>
      <c r="I82" s="29">
        <f t="shared" si="16"/>
        <v>58</v>
      </c>
      <c r="J82" s="22" t="str">
        <f t="shared" si="17"/>
        <v>Standard</v>
      </c>
      <c r="K82" s="42">
        <f t="shared" si="18"/>
        <v>29182.000081999999</v>
      </c>
    </row>
    <row r="83" spans="1:11" x14ac:dyDescent="0.3">
      <c r="A83" s="22" t="s">
        <v>317</v>
      </c>
      <c r="B83" s="22" t="str">
        <f>INDEX('Final Project Dataset'!$K$2:$K$251,MATCH(A83,'Final Project Dataset'!$I$2:$I$251,0))</f>
        <v>Rahul Singh</v>
      </c>
      <c r="C83" s="29">
        <f>COUNTIF('Final Project Dataset'!$I$2:$I$251,A83)</f>
        <v>3</v>
      </c>
      <c r="D83" s="41">
        <f>SUMIF('Final Project Dataset'!$I$2:$I$251,A83,'Final Project Dataset'!$F$2:$F$251)</f>
        <v>21467</v>
      </c>
      <c r="E83" s="41">
        <f>SUMIF('Final Project Dataset'!$I$2:$I$251,A83,'Final Project Dataset'!$H$2:$H$251)</f>
        <v>3319.52</v>
      </c>
      <c r="F83" s="41">
        <f t="shared" si="14"/>
        <v>7155.666666666667</v>
      </c>
      <c r="G83" s="27">
        <f>_xlfn.MAXIFS('Final Project Dataset'!$B$2:$B$251,'Final Project Dataset'!$I$2:$I$251,A83)</f>
        <v>45871</v>
      </c>
      <c r="H83" s="23">
        <f t="shared" ca="1" si="15"/>
        <v>454</v>
      </c>
      <c r="I83" s="29">
        <f t="shared" si="16"/>
        <v>69</v>
      </c>
      <c r="J83" s="22" t="str">
        <f t="shared" si="17"/>
        <v>Standard</v>
      </c>
      <c r="K83" s="42">
        <f t="shared" si="18"/>
        <v>21467.000082999999</v>
      </c>
    </row>
    <row r="84" spans="1:11" x14ac:dyDescent="0.3">
      <c r="A84" s="22" t="s">
        <v>225</v>
      </c>
      <c r="B84" s="22" t="str">
        <f>INDEX('Final Project Dataset'!$K$2:$K$251,MATCH(A84,'Final Project Dataset'!$I$2:$I$251,0))</f>
        <v>Meera Mehta</v>
      </c>
      <c r="C84" s="29">
        <f>COUNTIF('Final Project Dataset'!$I$2:$I$251,A84)</f>
        <v>3</v>
      </c>
      <c r="D84" s="41">
        <f>SUMIF('Final Project Dataset'!$I$2:$I$251,A84,'Final Project Dataset'!$F$2:$F$251)</f>
        <v>45702</v>
      </c>
      <c r="E84" s="41">
        <f>SUMIF('Final Project Dataset'!$I$2:$I$251,A84,'Final Project Dataset'!$H$2:$H$251)</f>
        <v>6763.2800000000007</v>
      </c>
      <c r="F84" s="41">
        <f t="shared" si="14"/>
        <v>15234</v>
      </c>
      <c r="G84" s="27">
        <f>_xlfn.MAXIFS('Final Project Dataset'!$B$2:$B$251,'Final Project Dataset'!$I$2:$I$251,A84)</f>
        <v>45878</v>
      </c>
      <c r="H84" s="23">
        <f t="shared" ca="1" si="15"/>
        <v>447</v>
      </c>
      <c r="I84" s="29">
        <f t="shared" si="16"/>
        <v>46</v>
      </c>
      <c r="J84" s="22" t="str">
        <f t="shared" si="17"/>
        <v>Standard</v>
      </c>
      <c r="K84" s="42">
        <f t="shared" si="18"/>
        <v>45702.000083999999</v>
      </c>
    </row>
    <row r="85" spans="1:11" x14ac:dyDescent="0.3">
      <c r="A85" s="22" t="s">
        <v>241</v>
      </c>
      <c r="B85" s="22" t="str">
        <f>INDEX('Final Project Dataset'!$K$2:$K$251,MATCH(A85,'Final Project Dataset'!$I$2:$I$251,0))</f>
        <v>Kavya Mehta</v>
      </c>
      <c r="C85" s="29">
        <f>COUNTIF('Final Project Dataset'!$I$2:$I$251,A85)</f>
        <v>2</v>
      </c>
      <c r="D85" s="41">
        <f>SUMIF('Final Project Dataset'!$I$2:$I$251,A85,'Final Project Dataset'!$F$2:$F$251)</f>
        <v>29488</v>
      </c>
      <c r="E85" s="41">
        <f>SUMIF('Final Project Dataset'!$I$2:$I$251,A85,'Final Project Dataset'!$H$2:$H$251)</f>
        <v>3370.76</v>
      </c>
      <c r="F85" s="41">
        <f t="shared" si="14"/>
        <v>14744</v>
      </c>
      <c r="G85" s="27">
        <f>_xlfn.MAXIFS('Final Project Dataset'!$B$2:$B$251,'Final Project Dataset'!$I$2:$I$251,A85)</f>
        <v>45978</v>
      </c>
      <c r="H85" s="23">
        <f t="shared" ca="1" si="15"/>
        <v>347</v>
      </c>
      <c r="I85" s="29">
        <f t="shared" si="16"/>
        <v>56</v>
      </c>
      <c r="J85" s="22" t="str">
        <f t="shared" si="17"/>
        <v>Standard</v>
      </c>
      <c r="K85" s="42">
        <f t="shared" si="18"/>
        <v>29488.000085</v>
      </c>
    </row>
    <row r="86" spans="1:11" x14ac:dyDescent="0.3">
      <c r="A86" s="22" t="s">
        <v>198</v>
      </c>
      <c r="B86" s="22" t="str">
        <f>INDEX('Final Project Dataset'!$K$2:$K$251,MATCH(A86,'Final Project Dataset'!$I$2:$I$251,0))</f>
        <v>Sneha Trivedi</v>
      </c>
      <c r="C86" s="29">
        <f>COUNTIF('Final Project Dataset'!$I$2:$I$251,A86)</f>
        <v>2</v>
      </c>
      <c r="D86" s="41">
        <f>SUMIF('Final Project Dataset'!$I$2:$I$251,A86,'Final Project Dataset'!$F$2:$F$251)</f>
        <v>125952</v>
      </c>
      <c r="E86" s="41">
        <f>SUMIF('Final Project Dataset'!$I$2:$I$251,A86,'Final Project Dataset'!$H$2:$H$251)</f>
        <v>13944.02</v>
      </c>
      <c r="F86" s="41">
        <f t="shared" si="14"/>
        <v>62976</v>
      </c>
      <c r="G86" s="27">
        <f>_xlfn.MAXIFS('Final Project Dataset'!$B$2:$B$251,'Final Project Dataset'!$I$2:$I$251,A86)</f>
        <v>45736</v>
      </c>
      <c r="H86" s="23">
        <f t="shared" ca="1" si="15"/>
        <v>589</v>
      </c>
      <c r="I86" s="29">
        <f t="shared" si="16"/>
        <v>8</v>
      </c>
      <c r="J86" s="22" t="str">
        <f t="shared" si="17"/>
        <v>High-Value</v>
      </c>
      <c r="K86" s="42">
        <f t="shared" si="18"/>
        <v>125952.000086</v>
      </c>
    </row>
  </sheetData>
  <mergeCells count="1">
    <mergeCell ref="A1:Q1"/>
  </mergeCells>
  <conditionalFormatting sqref="D8:D8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J8:J86">
    <cfRule type="expression" dxfId="3" priority="3">
      <formula>$J8="High-Value"</formula>
    </cfRule>
    <cfRule type="expression" dxfId="2" priority="4">
      <formula>$J8="Mid-Value"</formula>
    </cfRule>
    <cfRule type="expression" dxfId="1" priority="5">
      <formula>$J8="Standard"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L36"/>
  <sheetViews>
    <sheetView zoomScaleNormal="100" workbookViewId="0">
      <selection activeCell="H7" sqref="H7"/>
    </sheetView>
  </sheetViews>
  <sheetFormatPr defaultColWidth="8.6640625" defaultRowHeight="14.4" x14ac:dyDescent="0.3"/>
  <cols>
    <col min="1" max="1" width="38" customWidth="1"/>
    <col min="2" max="2" width="20" customWidth="1"/>
    <col min="3" max="3" width="11" customWidth="1"/>
    <col min="4" max="4" width="8" customWidth="1"/>
    <col min="5" max="5" width="12" customWidth="1"/>
    <col min="6" max="6" width="4" customWidth="1"/>
    <col min="7" max="7" width="3" customWidth="1"/>
    <col min="8" max="8" width="20" customWidth="1"/>
    <col min="9" max="9" width="17" customWidth="1"/>
    <col min="10" max="10" width="18" customWidth="1"/>
    <col min="11" max="11" width="10" customWidth="1"/>
    <col min="12" max="12" width="20" customWidth="1"/>
  </cols>
  <sheetData>
    <row r="1" spans="1:12" ht="30" customHeight="1" x14ac:dyDescent="0.3">
      <c r="A1" s="3" t="s">
        <v>536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H2" s="5" t="s">
        <v>537</v>
      </c>
    </row>
    <row r="3" spans="1:12" ht="52.8" x14ac:dyDescent="0.3">
      <c r="A3" s="8" t="s">
        <v>31</v>
      </c>
      <c r="B3" s="8" t="s">
        <v>538</v>
      </c>
      <c r="C3" s="8" t="s">
        <v>18</v>
      </c>
      <c r="D3" s="8" t="s">
        <v>533</v>
      </c>
      <c r="E3" s="8" t="s">
        <v>539</v>
      </c>
      <c r="F3" s="8" t="s">
        <v>540</v>
      </c>
      <c r="H3" s="8" t="s">
        <v>541</v>
      </c>
      <c r="I3" s="8" t="s">
        <v>542</v>
      </c>
      <c r="J3" s="8" t="s">
        <v>543</v>
      </c>
      <c r="K3" s="8" t="s">
        <v>544</v>
      </c>
      <c r="L3" s="8" t="s">
        <v>545</v>
      </c>
    </row>
    <row r="4" spans="1:12" x14ac:dyDescent="0.3">
      <c r="A4" s="12" t="s">
        <v>35</v>
      </c>
      <c r="B4" s="12">
        <f>COUNTIF('Final Project Dataset'!$C$2:$C$251,A4)</f>
        <v>19</v>
      </c>
      <c r="C4" s="12">
        <f>SUMIF('Final Project Dataset'!$C$2:$C$251,A4,'Final Project Dataset'!$D$2:$D$251)</f>
        <v>31</v>
      </c>
      <c r="D4" s="12">
        <f t="shared" ref="D4:D13" si="0">RANK(B4,$B$4:$B$13)</f>
        <v>10</v>
      </c>
      <c r="E4" s="16">
        <f t="shared" ref="E4:E13" si="1">B4/SUM($B$4:$B$13)</f>
        <v>7.5999999999999998E-2</v>
      </c>
      <c r="F4" s="44" t="str">
        <f t="shared" ref="F4:F13" si="2">IF(B4=MAX($B$4:$B$13),A4&amp;", ","")</f>
        <v/>
      </c>
      <c r="H4" s="45" t="s">
        <v>176</v>
      </c>
      <c r="I4" s="12" t="str">
        <f>IF(COUNTIF(High_Value_Customers!$B$8:$B$86,H4)&gt;0,"Match","No match")</f>
        <v>Match</v>
      </c>
      <c r="J4" s="12" t="str">
        <f t="shared" ref="J4:J33" si="3">IF(I4="Match",H4,"")</f>
        <v>Priya Bhatt</v>
      </c>
      <c r="K4" s="12">
        <f>IF(J4&lt;&gt;"",COUNTIF(J$4:J4,"?*"),"")</f>
        <v>1</v>
      </c>
      <c r="L4" s="12" t="str">
        <f>IFERROR(INDEX($J$4:$J$33,MATCH(ROWS(L$4:L4),$K$4:$K$33,0)),"")</f>
        <v>Priya Bhatt</v>
      </c>
    </row>
    <row r="5" spans="1:12" x14ac:dyDescent="0.3">
      <c r="A5" s="12" t="s">
        <v>36</v>
      </c>
      <c r="B5" s="12">
        <f>COUNTIF('Final Project Dataset'!$C$2:$C$251,A5)</f>
        <v>29</v>
      </c>
      <c r="C5" s="12">
        <f>SUMIF('Final Project Dataset'!$C$2:$C$251,A5,'Final Project Dataset'!$D$2:$D$251)</f>
        <v>45</v>
      </c>
      <c r="D5" s="12">
        <f t="shared" si="0"/>
        <v>3</v>
      </c>
      <c r="E5" s="16">
        <f t="shared" si="1"/>
        <v>0.11600000000000001</v>
      </c>
      <c r="F5" s="44" t="str">
        <f t="shared" si="2"/>
        <v/>
      </c>
      <c r="H5" s="45" t="s">
        <v>364</v>
      </c>
      <c r="I5" s="12" t="str">
        <f>IF(COUNTIF(High_Value_Customers!$B$8:$B$86,H5)&gt;0,"Match","No match")</f>
        <v>Match</v>
      </c>
      <c r="J5" s="12" t="str">
        <f t="shared" si="3"/>
        <v>Kavya Reddy</v>
      </c>
      <c r="K5" s="12">
        <f>IF(J5&lt;&gt;"",COUNTIF(J$4:J5,"?*"),"")</f>
        <v>2</v>
      </c>
      <c r="L5" s="12" t="str">
        <f>IFERROR(INDEX($J$4:$J$33,MATCH(ROWS(L$4:L5),$K$4:$K$33,0)),"")</f>
        <v>Kavya Reddy</v>
      </c>
    </row>
    <row r="6" spans="1:12" x14ac:dyDescent="0.3">
      <c r="A6" s="12" t="s">
        <v>38</v>
      </c>
      <c r="B6" s="12">
        <f>COUNTIF('Final Project Dataset'!$C$2:$C$251,A6)</f>
        <v>30</v>
      </c>
      <c r="C6" s="12">
        <f>SUMIF('Final Project Dataset'!$C$2:$C$251,A6,'Final Project Dataset'!$D$2:$D$251)</f>
        <v>69</v>
      </c>
      <c r="D6" s="12">
        <f t="shared" si="0"/>
        <v>1</v>
      </c>
      <c r="E6" s="16">
        <f t="shared" si="1"/>
        <v>0.12</v>
      </c>
      <c r="F6" s="44" t="str">
        <f t="shared" si="2"/>
        <v xml:space="preserve">Monitor, </v>
      </c>
      <c r="H6" s="45" t="s">
        <v>208</v>
      </c>
      <c r="I6" s="12" t="str">
        <f>IF(COUNTIF(High_Value_Customers!$B$8:$B$86,H6)&gt;0,"Match","No match")</f>
        <v>Match</v>
      </c>
      <c r="J6" s="12" t="str">
        <f t="shared" si="3"/>
        <v>Rohan Kapoor</v>
      </c>
      <c r="K6" s="12">
        <f>IF(J6&lt;&gt;"",COUNTIF(J$4:J6,"?*"),"")</f>
        <v>3</v>
      </c>
      <c r="L6" s="12" t="str">
        <f>IFERROR(INDEX($J$4:$J$33,MATCH(ROWS(L$4:L6),$K$4:$K$33,0)),"")</f>
        <v>Rohan Kapoor</v>
      </c>
    </row>
    <row r="7" spans="1:12" x14ac:dyDescent="0.3">
      <c r="A7" s="12" t="s">
        <v>39</v>
      </c>
      <c r="B7" s="12">
        <f>COUNTIF('Final Project Dataset'!$C$2:$C$251,A7)</f>
        <v>22</v>
      </c>
      <c r="C7" s="12">
        <f>SUMIF('Final Project Dataset'!$C$2:$C$251,A7,'Final Project Dataset'!$D$2:$D$251)</f>
        <v>45</v>
      </c>
      <c r="D7" s="12">
        <f t="shared" si="0"/>
        <v>7</v>
      </c>
      <c r="E7" s="16">
        <f t="shared" si="1"/>
        <v>8.7999999999999995E-2</v>
      </c>
      <c r="F7" s="44" t="str">
        <f t="shared" si="2"/>
        <v/>
      </c>
      <c r="H7" s="45" t="s">
        <v>373</v>
      </c>
      <c r="I7" s="12" t="str">
        <f>IF(COUNTIF(High_Value_Customers!$B$8:$B$86,H7)&gt;0,"Match","No match")</f>
        <v>Match</v>
      </c>
      <c r="J7" s="12" t="str">
        <f t="shared" si="3"/>
        <v>Rahul Sharma</v>
      </c>
      <c r="K7" s="12">
        <f>IF(J7&lt;&gt;"",COUNTIF(J$4:J7,"?*"),"")</f>
        <v>4</v>
      </c>
      <c r="L7" s="12" t="str">
        <f>IFERROR(INDEX($J$4:$J$33,MATCH(ROWS(L$4:L7),$K$4:$K$33,0)),"")</f>
        <v>Rahul Sharma</v>
      </c>
    </row>
    <row r="8" spans="1:12" x14ac:dyDescent="0.3">
      <c r="A8" s="12" t="s">
        <v>40</v>
      </c>
      <c r="B8" s="12">
        <f>COUNTIF('Final Project Dataset'!$C$2:$C$251,A8)</f>
        <v>24</v>
      </c>
      <c r="C8" s="12">
        <f>SUMIF('Final Project Dataset'!$C$2:$C$251,A8,'Final Project Dataset'!$D$2:$D$251)</f>
        <v>56</v>
      </c>
      <c r="D8" s="12">
        <f t="shared" si="0"/>
        <v>6</v>
      </c>
      <c r="E8" s="16">
        <f t="shared" si="1"/>
        <v>9.6000000000000002E-2</v>
      </c>
      <c r="F8" s="44" t="str">
        <f t="shared" si="2"/>
        <v/>
      </c>
      <c r="H8" s="45" t="s">
        <v>296</v>
      </c>
      <c r="I8" s="12" t="str">
        <f>IF(COUNTIF(High_Value_Customers!$B$8:$B$86,H8)&gt;0,"Match","No match")</f>
        <v>Match</v>
      </c>
      <c r="J8" s="12" t="str">
        <f t="shared" si="3"/>
        <v>Aarav Reddy</v>
      </c>
      <c r="K8" s="12">
        <f>IF(J8&lt;&gt;"",COUNTIF(J$4:J8,"?*"),"")</f>
        <v>5</v>
      </c>
      <c r="L8" s="12" t="str">
        <f>IFERROR(INDEX($J$4:$J$33,MATCH(ROWS(L$4:L8),$K$4:$K$33,0)),"")</f>
        <v>Aarav Reddy</v>
      </c>
    </row>
    <row r="9" spans="1:12" x14ac:dyDescent="0.3">
      <c r="A9" s="12" t="s">
        <v>41</v>
      </c>
      <c r="B9" s="12">
        <f>COUNTIF('Final Project Dataset'!$C$2:$C$251,A9)</f>
        <v>22</v>
      </c>
      <c r="C9" s="12">
        <f>SUMIF('Final Project Dataset'!$C$2:$C$251,A9,'Final Project Dataset'!$D$2:$D$251)</f>
        <v>34</v>
      </c>
      <c r="D9" s="12">
        <f t="shared" si="0"/>
        <v>7</v>
      </c>
      <c r="E9" s="16">
        <f t="shared" si="1"/>
        <v>8.7999999999999995E-2</v>
      </c>
      <c r="F9" s="44" t="str">
        <f t="shared" si="2"/>
        <v/>
      </c>
      <c r="H9" s="45" t="s">
        <v>546</v>
      </c>
      <c r="I9" s="12" t="str">
        <f>IF(COUNTIF(High_Value_Customers!$B$8:$B$86,H9)&gt;0,"Match","No match")</f>
        <v>No match</v>
      </c>
      <c r="J9" s="12" t="str">
        <f t="shared" si="3"/>
        <v/>
      </c>
      <c r="K9" s="12" t="str">
        <f>IF(J9&lt;&gt;"",COUNTIF(J$4:J9,"?*"),"")</f>
        <v/>
      </c>
      <c r="L9" s="12" t="str">
        <f>IFERROR(INDEX($J$4:$J$33,MATCH(ROWS(L$4:L9),$K$4:$K$33,0)),"")</f>
        <v>Nikhil Bhatt</v>
      </c>
    </row>
    <row r="10" spans="1:12" x14ac:dyDescent="0.3">
      <c r="A10" s="12" t="s">
        <v>43</v>
      </c>
      <c r="B10" s="12">
        <f>COUNTIF('Final Project Dataset'!$C$2:$C$251,A10)</f>
        <v>30</v>
      </c>
      <c r="C10" s="12">
        <f>SUMIF('Final Project Dataset'!$C$2:$C$251,A10,'Final Project Dataset'!$D$2:$D$251)</f>
        <v>54</v>
      </c>
      <c r="D10" s="12">
        <f t="shared" si="0"/>
        <v>1</v>
      </c>
      <c r="E10" s="16">
        <f t="shared" si="1"/>
        <v>0.12</v>
      </c>
      <c r="F10" s="44" t="str">
        <f t="shared" si="2"/>
        <v xml:space="preserve">Headphones, </v>
      </c>
      <c r="H10" s="45" t="s">
        <v>547</v>
      </c>
      <c r="I10" s="12" t="str">
        <f>IF(COUNTIF(High_Value_Customers!$B$8:$B$86,H10)&gt;0,"Match","No match")</f>
        <v>No match</v>
      </c>
      <c r="J10" s="12" t="str">
        <f t="shared" si="3"/>
        <v/>
      </c>
      <c r="K10" s="12" t="str">
        <f>IF(J10&lt;&gt;"",COUNTIF(J$4:J10,"?*"),"")</f>
        <v/>
      </c>
      <c r="L10" s="12" t="str">
        <f>IFERROR(INDEX($J$4:$J$33,MATCH(ROWS(L$4:L10),$K$4:$K$33,0)),"")</f>
        <v>Nikhil Mehta</v>
      </c>
    </row>
    <row r="11" spans="1:12" x14ac:dyDescent="0.3">
      <c r="A11" s="12" t="s">
        <v>44</v>
      </c>
      <c r="B11" s="12">
        <f>COUNTIF('Final Project Dataset'!$C$2:$C$251,A11)</f>
        <v>25</v>
      </c>
      <c r="C11" s="12">
        <f>SUMIF('Final Project Dataset'!$C$2:$C$251,A11,'Final Project Dataset'!$D$2:$D$251)</f>
        <v>56</v>
      </c>
      <c r="D11" s="12">
        <f t="shared" si="0"/>
        <v>5</v>
      </c>
      <c r="E11" s="16">
        <f t="shared" si="1"/>
        <v>0.1</v>
      </c>
      <c r="F11" s="44" t="str">
        <f t="shared" si="2"/>
        <v/>
      </c>
      <c r="H11" s="45" t="s">
        <v>548</v>
      </c>
      <c r="I11" s="12" t="str">
        <f>IF(COUNTIF(High_Value_Customers!$B$8:$B$86,H11)&gt;0,"Match","No match")</f>
        <v>No match</v>
      </c>
      <c r="J11" s="12" t="str">
        <f t="shared" si="3"/>
        <v/>
      </c>
      <c r="K11" s="12" t="str">
        <f>IF(J11&lt;&gt;"",COUNTIF(J$4:J11,"?*"),"")</f>
        <v/>
      </c>
      <c r="L11" s="12" t="str">
        <f>IFERROR(INDEX($J$4:$J$33,MATCH(ROWS(L$4:L11),$K$4:$K$33,0)),"")</f>
        <v>Karan Desai</v>
      </c>
    </row>
    <row r="12" spans="1:12" x14ac:dyDescent="0.3">
      <c r="A12" s="12" t="s">
        <v>45</v>
      </c>
      <c r="B12" s="12">
        <f>COUNTIF('Final Project Dataset'!$C$2:$C$251,A12)</f>
        <v>27</v>
      </c>
      <c r="C12" s="12">
        <f>SUMIF('Final Project Dataset'!$C$2:$C$251,A12,'Final Project Dataset'!$D$2:$D$251)</f>
        <v>50</v>
      </c>
      <c r="D12" s="12">
        <f t="shared" si="0"/>
        <v>4</v>
      </c>
      <c r="E12" s="16">
        <f t="shared" si="1"/>
        <v>0.108</v>
      </c>
      <c r="F12" s="44" t="str">
        <f t="shared" si="2"/>
        <v/>
      </c>
      <c r="H12" s="45" t="s">
        <v>239</v>
      </c>
      <c r="I12" s="12" t="str">
        <f>IF(COUNTIF(High_Value_Customers!$B$8:$B$86,H12)&gt;0,"Match","No match")</f>
        <v>Match</v>
      </c>
      <c r="J12" s="12" t="str">
        <f t="shared" si="3"/>
        <v>Nikhil Bhatt</v>
      </c>
      <c r="K12" s="12">
        <f>IF(J12&lt;&gt;"",COUNTIF(J$4:J12,"?*"),"")</f>
        <v>6</v>
      </c>
      <c r="L12" s="12" t="str">
        <f>IFERROR(INDEX($J$4:$J$33,MATCH(ROWS(L$4:L12),$K$4:$K$33,0)),"")</f>
        <v>Aditya Verma</v>
      </c>
    </row>
    <row r="13" spans="1:12" x14ac:dyDescent="0.3">
      <c r="A13" s="12" t="s">
        <v>46</v>
      </c>
      <c r="B13" s="12">
        <f>COUNTIF('Final Project Dataset'!$C$2:$C$251,A13)</f>
        <v>22</v>
      </c>
      <c r="C13" s="12">
        <f>SUMIF('Final Project Dataset'!$C$2:$C$251,A13,'Final Project Dataset'!$D$2:$D$251)</f>
        <v>44</v>
      </c>
      <c r="D13" s="12">
        <f t="shared" si="0"/>
        <v>7</v>
      </c>
      <c r="E13" s="16">
        <f t="shared" si="1"/>
        <v>8.7999999999999995E-2</v>
      </c>
      <c r="F13" s="44" t="str">
        <f t="shared" si="2"/>
        <v/>
      </c>
      <c r="H13" s="45" t="s">
        <v>139</v>
      </c>
      <c r="I13" s="12" t="str">
        <f>IF(COUNTIF(High_Value_Customers!$B$8:$B$86,H13)&gt;0,"Match","No match")</f>
        <v>Match</v>
      </c>
      <c r="J13" s="12" t="str">
        <f t="shared" si="3"/>
        <v>Nikhil Mehta</v>
      </c>
      <c r="K13" s="12">
        <f>IF(J13&lt;&gt;"",COUNTIF(J$4:J13,"?*"),"")</f>
        <v>7</v>
      </c>
      <c r="L13" s="12" t="str">
        <f>IFERROR(INDEX($J$4:$J$33,MATCH(ROWS(L$4:L13),$K$4:$K$33,0)),"")</f>
        <v>Rohan Desai</v>
      </c>
    </row>
    <row r="14" spans="1:12" x14ac:dyDescent="0.3">
      <c r="H14" s="45" t="s">
        <v>549</v>
      </c>
      <c r="I14" s="12" t="str">
        <f>IF(COUNTIF(High_Value_Customers!$B$8:$B$86,H14)&gt;0,"Match","No match")</f>
        <v>No match</v>
      </c>
      <c r="J14" s="12" t="str">
        <f t="shared" si="3"/>
        <v/>
      </c>
      <c r="K14" s="12" t="str">
        <f>IF(J14&lt;&gt;"",COUNTIF(J$4:J14,"?*"),"")</f>
        <v/>
      </c>
      <c r="L14" s="12" t="str">
        <f>IFERROR(INDEX($J$4:$J$33,MATCH(ROWS(L$4:L14),$K$4:$K$33,0)),"")</f>
        <v>Divya Bhatt</v>
      </c>
    </row>
    <row r="15" spans="1:12" x14ac:dyDescent="0.3">
      <c r="A15" s="5" t="s">
        <v>550</v>
      </c>
      <c r="B15" s="46" t="str">
        <f>LEFT(F4&amp;F5&amp;F6&amp;F7&amp;F8&amp;F9&amp;F10&amp;F11&amp;F12&amp;F13,LEN(F4&amp;F5&amp;F6&amp;F7&amp;F8&amp;F9&amp;F10&amp;F11&amp;F12&amp;F13)-2)</f>
        <v>Monitor, Headphones</v>
      </c>
      <c r="H15" s="45" t="s">
        <v>551</v>
      </c>
      <c r="I15" s="12" t="str">
        <f>IF(COUNTIF(High_Value_Customers!$B$8:$B$86,H15)&gt;0,"Match","No match")</f>
        <v>No match</v>
      </c>
      <c r="J15" s="12" t="str">
        <f t="shared" si="3"/>
        <v/>
      </c>
      <c r="K15" s="12" t="str">
        <f>IF(J15&lt;&gt;"",COUNTIF(J$4:J15,"?*"),"")</f>
        <v/>
      </c>
      <c r="L15" s="12" t="str">
        <f>IFERROR(INDEX($J$4:$J$33,MATCH(ROWS(L$4:L15),$K$4:$K$33,0)),"")</f>
        <v>Rahul Chauhan</v>
      </c>
    </row>
    <row r="16" spans="1:12" x14ac:dyDescent="0.3">
      <c r="A16" s="5" t="s">
        <v>552</v>
      </c>
      <c r="B16" s="5">
        <f>MAX(B4:B13)</f>
        <v>30</v>
      </c>
      <c r="H16" s="45" t="s">
        <v>553</v>
      </c>
      <c r="I16" s="12" t="str">
        <f>IF(COUNTIF(High_Value_Customers!$B$8:$B$86,H16)&gt;0,"Match","No match")</f>
        <v>No match</v>
      </c>
      <c r="J16" s="12" t="str">
        <f t="shared" si="3"/>
        <v/>
      </c>
      <c r="K16" s="12" t="str">
        <f>IF(J16&lt;&gt;"",COUNTIF(J$4:J16,"?*"),"")</f>
        <v/>
      </c>
      <c r="L16" s="12" t="str">
        <f>IFERROR(INDEX($J$4:$J$33,MATCH(ROWS(L$4:L16),$K$4:$K$33,0)),"")</f>
        <v>Sanjay Reddy</v>
      </c>
    </row>
    <row r="17" spans="1:12" x14ac:dyDescent="0.3">
      <c r="A17" s="5" t="s">
        <v>554</v>
      </c>
      <c r="B17" s="5" t="str">
        <f>INDEX(A4:A13,MATCH(MAX(C4:C13),C4:C13,0))</f>
        <v>Monitor</v>
      </c>
      <c r="H17" s="45" t="s">
        <v>261</v>
      </c>
      <c r="I17" s="12" t="str">
        <f>IF(COUNTIF(High_Value_Customers!$B$8:$B$86,H17)&gt;0,"Match","No match")</f>
        <v>Match</v>
      </c>
      <c r="J17" s="12" t="str">
        <f t="shared" si="3"/>
        <v>Karan Desai</v>
      </c>
      <c r="K17" s="12">
        <f>IF(J17&lt;&gt;"",COUNTIF(J$4:J17,"?*"),"")</f>
        <v>8</v>
      </c>
      <c r="L17" s="12" t="str">
        <f>IFERROR(INDEX($J$4:$J$33,MATCH(ROWS(L$4:L17),$K$4:$K$33,0)),"")</f>
        <v>Priya Iyer</v>
      </c>
    </row>
    <row r="18" spans="1:12" x14ac:dyDescent="0.3">
      <c r="H18" s="45" t="s">
        <v>444</v>
      </c>
      <c r="I18" s="12" t="str">
        <f>IF(COUNTIF(High_Value_Customers!$B$8:$B$86,H18)&gt;0,"Match","No match")</f>
        <v>Match</v>
      </c>
      <c r="J18" s="12" t="str">
        <f t="shared" si="3"/>
        <v>Aditya Verma</v>
      </c>
      <c r="K18" s="12">
        <f>IF(J18&lt;&gt;"",COUNTIF(J$4:J18,"?*"),"")</f>
        <v>9</v>
      </c>
      <c r="L18" s="12" t="str">
        <f>IFERROR(INDEX($J$4:$J$33,MATCH(ROWS(L$4:L18),$K$4:$K$33,0)),"")</f>
        <v>Meera Gupta</v>
      </c>
    </row>
    <row r="19" spans="1:12" x14ac:dyDescent="0.3">
      <c r="A19" s="5" t="s">
        <v>555</v>
      </c>
      <c r="B19" s="5">
        <f>COUNTIF(High_Value_Customers!$C$8:$C$86,"&gt;1")</f>
        <v>70</v>
      </c>
      <c r="H19" s="45" t="s">
        <v>322</v>
      </c>
      <c r="I19" s="12" t="str">
        <f>IF(COUNTIF(High_Value_Customers!$B$8:$B$86,H19)&gt;0,"Match","No match")</f>
        <v>Match</v>
      </c>
      <c r="J19" s="12" t="str">
        <f t="shared" si="3"/>
        <v>Rohan Desai</v>
      </c>
      <c r="K19" s="12">
        <f>IF(J19&lt;&gt;"",COUNTIF(J$4:J19,"?*"),"")</f>
        <v>10</v>
      </c>
      <c r="L19" s="12" t="str">
        <f>IFERROR(INDEX($J$4:$J$33,MATCH(ROWS(L$4:L19),$K$4:$K$33,0)),"")</f>
        <v>Amit Singh</v>
      </c>
    </row>
    <row r="20" spans="1:12" x14ac:dyDescent="0.3">
      <c r="A20" s="5" t="s">
        <v>556</v>
      </c>
      <c r="B20" s="46" t="str">
        <f>INDEX(High_Value_Customers!$B$8:$B$86,MATCH(MAX(High_Value_Customers!$C$8:$C$86),High_Value_Customers!$C$8:$C$86,0))</f>
        <v>Riya Reddy</v>
      </c>
      <c r="H20" s="45" t="s">
        <v>557</v>
      </c>
      <c r="I20" s="12" t="str">
        <f>IF(COUNTIF(High_Value_Customers!$B$8:$B$86,H20)&gt;0,"Match","No match")</f>
        <v>No match</v>
      </c>
      <c r="J20" s="12" t="str">
        <f t="shared" si="3"/>
        <v/>
      </c>
      <c r="K20" s="12" t="str">
        <f>IF(J20&lt;&gt;"",COUNTIF(J$4:J20,"?*"),"")</f>
        <v/>
      </c>
      <c r="L20" s="12" t="str">
        <f>IFERROR(INDEX($J$4:$J$33,MATCH(ROWS(L$4:L20),$K$4:$K$33,0)),"")</f>
        <v>Karan Iyer</v>
      </c>
    </row>
    <row r="21" spans="1:12" x14ac:dyDescent="0.3">
      <c r="A21" s="5" t="s">
        <v>558</v>
      </c>
      <c r="B21" s="5">
        <f>MAX(High_Value_Customers!$C$8:$C$86)</f>
        <v>8</v>
      </c>
      <c r="H21" s="45" t="s">
        <v>231</v>
      </c>
      <c r="I21" s="12" t="str">
        <f>IF(COUNTIF(High_Value_Customers!$B$8:$B$86,H21)&gt;0,"Match","No match")</f>
        <v>Match</v>
      </c>
      <c r="J21" s="12" t="str">
        <f t="shared" si="3"/>
        <v>Divya Bhatt</v>
      </c>
      <c r="K21" s="12">
        <f>IF(J21&lt;&gt;"",COUNTIF(J$4:J21,"?*"),"")</f>
        <v>11</v>
      </c>
      <c r="L21" s="12" t="str">
        <f>IFERROR(INDEX($J$4:$J$33,MATCH(ROWS(L$4:L21),$K$4:$K$33,0)),"")</f>
        <v>Aditya Iyer</v>
      </c>
    </row>
    <row r="22" spans="1:12" x14ac:dyDescent="0.3">
      <c r="A22" s="5" t="s">
        <v>559</v>
      </c>
      <c r="B22" s="40">
        <f>COUNTIF('Final Project Dataset'!$P$2:$P$251,"Repeat")/COUNTA('Final Project Dataset'!$P$2:$P$251)</f>
        <v>0.96399999999999997</v>
      </c>
      <c r="H22" s="45" t="s">
        <v>130</v>
      </c>
      <c r="I22" s="12" t="str">
        <f>IF(COUNTIF(High_Value_Customers!$B$8:$B$86,H22)&gt;0,"Match","No match")</f>
        <v>Match</v>
      </c>
      <c r="J22" s="12" t="str">
        <f t="shared" si="3"/>
        <v>Rahul Chauhan</v>
      </c>
      <c r="K22" s="12">
        <f>IF(J22&lt;&gt;"",COUNTIF(J$4:J22,"?*"),"")</f>
        <v>12</v>
      </c>
      <c r="L22" s="12" t="str">
        <f>IFERROR(INDEX($J$4:$J$33,MATCH(ROWS(L$4:L22),$K$4:$K$33,0)),"")</f>
        <v>Meera Mehta</v>
      </c>
    </row>
    <row r="23" spans="1:12" x14ac:dyDescent="0.3">
      <c r="H23" s="45" t="s">
        <v>315</v>
      </c>
      <c r="I23" s="12" t="str">
        <f>IF(COUNTIF(High_Value_Customers!$B$8:$B$86,H23)&gt;0,"Match","No match")</f>
        <v>Match</v>
      </c>
      <c r="J23" s="12" t="str">
        <f t="shared" si="3"/>
        <v>Sanjay Reddy</v>
      </c>
      <c r="K23" s="12">
        <f>IF(J23&lt;&gt;"",COUNTIF(J$4:J23,"?*"),"")</f>
        <v>13</v>
      </c>
      <c r="L23" s="12" t="str">
        <f>IFERROR(INDEX($J$4:$J$33,MATCH(ROWS(L$4:L23),$K$4:$K$33,0)),"")</f>
        <v>Nikhil Reddy</v>
      </c>
    </row>
    <row r="24" spans="1:12" x14ac:dyDescent="0.3">
      <c r="H24" s="45" t="s">
        <v>344</v>
      </c>
      <c r="I24" s="12" t="str">
        <f>IF(COUNTIF(High_Value_Customers!$B$8:$B$86,H24)&gt;0,"Match","No match")</f>
        <v>Match</v>
      </c>
      <c r="J24" s="12" t="str">
        <f t="shared" si="3"/>
        <v>Priya Iyer</v>
      </c>
      <c r="K24" s="12">
        <f>IF(J24&lt;&gt;"",COUNTIF(J$4:J24,"?*"),"")</f>
        <v>14</v>
      </c>
      <c r="L24" s="12" t="str">
        <f>IFERROR(INDEX($J$4:$J$33,MATCH(ROWS(L$4:L24),$K$4:$K$33,0)),"")</f>
        <v/>
      </c>
    </row>
    <row r="25" spans="1:12" x14ac:dyDescent="0.3">
      <c r="H25" s="45" t="s">
        <v>560</v>
      </c>
      <c r="I25" s="12" t="str">
        <f>IF(COUNTIF(High_Value_Customers!$B$8:$B$86,H25)&gt;0,"Match","No match")</f>
        <v>No match</v>
      </c>
      <c r="J25" s="12" t="str">
        <f t="shared" si="3"/>
        <v/>
      </c>
      <c r="K25" s="12" t="str">
        <f>IF(J25&lt;&gt;"",COUNTIF(J$4:J25,"?*"),"")</f>
        <v/>
      </c>
      <c r="L25" s="12" t="str">
        <f>IFERROR(INDEX($J$4:$J$33,MATCH(ROWS(L$4:L25),$K$4:$K$33,0)),"")</f>
        <v/>
      </c>
    </row>
    <row r="26" spans="1:12" x14ac:dyDescent="0.3">
      <c r="H26" s="45" t="s">
        <v>340</v>
      </c>
      <c r="I26" s="12" t="str">
        <f>IF(COUNTIF(High_Value_Customers!$B$8:$B$86,H26)&gt;0,"Match","No match")</f>
        <v>Match</v>
      </c>
      <c r="J26" s="12" t="str">
        <f t="shared" si="3"/>
        <v>Meera Gupta</v>
      </c>
      <c r="K26" s="12">
        <f>IF(J26&lt;&gt;"",COUNTIF(J$4:J26,"?*"),"")</f>
        <v>15</v>
      </c>
      <c r="L26" s="12" t="str">
        <f>IFERROR(INDEX($J$4:$J$33,MATCH(ROWS(L$4:L26),$K$4:$K$33,0)),"")</f>
        <v/>
      </c>
    </row>
    <row r="27" spans="1:12" x14ac:dyDescent="0.3">
      <c r="H27" s="45" t="s">
        <v>145</v>
      </c>
      <c r="I27" s="12" t="str">
        <f>IF(COUNTIF(High_Value_Customers!$B$8:$B$86,H27)&gt;0,"Match","No match")</f>
        <v>Match</v>
      </c>
      <c r="J27" s="12" t="str">
        <f t="shared" si="3"/>
        <v>Amit Singh</v>
      </c>
      <c r="K27" s="12">
        <f>IF(J27&lt;&gt;"",COUNTIF(J$4:J27,"?*"),"")</f>
        <v>16</v>
      </c>
      <c r="L27" s="12" t="str">
        <f>IFERROR(INDEX($J$4:$J$33,MATCH(ROWS(L$4:L27),$K$4:$K$33,0)),"")</f>
        <v/>
      </c>
    </row>
    <row r="28" spans="1:12" x14ac:dyDescent="0.3">
      <c r="H28" s="45" t="s">
        <v>561</v>
      </c>
      <c r="I28" s="12" t="str">
        <f>IF(COUNTIF(High_Value_Customers!$B$8:$B$86,H28)&gt;0,"Match","No match")</f>
        <v>No match</v>
      </c>
      <c r="J28" s="12" t="str">
        <f t="shared" si="3"/>
        <v/>
      </c>
      <c r="K28" s="12" t="str">
        <f>IF(J28&lt;&gt;"",COUNTIF(J$4:J28,"?*"),"")</f>
        <v/>
      </c>
      <c r="L28" s="12" t="str">
        <f>IFERROR(INDEX($J$4:$J$33,MATCH(ROWS(L$4:L28),$K$4:$K$33,0)),"")</f>
        <v/>
      </c>
    </row>
    <row r="29" spans="1:12" x14ac:dyDescent="0.3">
      <c r="H29" s="45" t="s">
        <v>212</v>
      </c>
      <c r="I29" s="12" t="str">
        <f>IF(COUNTIF(High_Value_Customers!$B$8:$B$86,H29)&gt;0,"Match","No match")</f>
        <v>Match</v>
      </c>
      <c r="J29" s="12" t="str">
        <f t="shared" si="3"/>
        <v>Karan Iyer</v>
      </c>
      <c r="K29" s="12">
        <f>IF(J29&lt;&gt;"",COUNTIF(J$4:J29,"?*"),"")</f>
        <v>17</v>
      </c>
      <c r="L29" s="12" t="str">
        <f>IFERROR(INDEX($J$4:$J$33,MATCH(ROWS(L$4:L29),$K$4:$K$33,0)),"")</f>
        <v/>
      </c>
    </row>
    <row r="30" spans="1:12" x14ac:dyDescent="0.3">
      <c r="H30" s="45" t="s">
        <v>205</v>
      </c>
      <c r="I30" s="12" t="str">
        <f>IF(COUNTIF(High_Value_Customers!$B$8:$B$86,H30)&gt;0,"Match","No match")</f>
        <v>Match</v>
      </c>
      <c r="J30" s="12" t="str">
        <f t="shared" si="3"/>
        <v>Aditya Iyer</v>
      </c>
      <c r="K30" s="12">
        <f>IF(J30&lt;&gt;"",COUNTIF(J$4:J30,"?*"),"")</f>
        <v>18</v>
      </c>
      <c r="L30" s="12" t="str">
        <f>IFERROR(INDEX($J$4:$J$33,MATCH(ROWS(L$4:L30),$K$4:$K$33,0)),"")</f>
        <v/>
      </c>
    </row>
    <row r="31" spans="1:12" x14ac:dyDescent="0.3">
      <c r="H31" s="45" t="s">
        <v>562</v>
      </c>
      <c r="I31" s="12" t="str">
        <f>IF(COUNTIF(High_Value_Customers!$B$8:$B$86,H31)&gt;0,"Match","No match")</f>
        <v>No match</v>
      </c>
      <c r="J31" s="12" t="str">
        <f t="shared" si="3"/>
        <v/>
      </c>
      <c r="K31" s="12" t="str">
        <f>IF(J31&lt;&gt;"",COUNTIF(J$4:J31,"?*"),"")</f>
        <v/>
      </c>
      <c r="L31" s="12" t="str">
        <f>IFERROR(INDEX($J$4:$J$33,MATCH(ROWS(L$4:L31),$K$4:$K$33,0)),"")</f>
        <v/>
      </c>
    </row>
    <row r="32" spans="1:12" x14ac:dyDescent="0.3">
      <c r="H32" s="45" t="s">
        <v>226</v>
      </c>
      <c r="I32" s="12" t="str">
        <f>IF(COUNTIF(High_Value_Customers!$B$8:$B$86,H32)&gt;0,"Match","No match")</f>
        <v>Match</v>
      </c>
      <c r="J32" s="12" t="str">
        <f t="shared" si="3"/>
        <v>Meera Mehta</v>
      </c>
      <c r="K32" s="12">
        <f>IF(J32&lt;&gt;"",COUNTIF(J$4:J32,"?*"),"")</f>
        <v>19</v>
      </c>
      <c r="L32" s="12" t="str">
        <f>IFERROR(INDEX($J$4:$J$33,MATCH(ROWS(L$4:L32),$K$4:$K$33,0)),"")</f>
        <v/>
      </c>
    </row>
    <row r="33" spans="8:12" x14ac:dyDescent="0.3">
      <c r="H33" s="45" t="s">
        <v>357</v>
      </c>
      <c r="I33" s="12" t="str">
        <f>IF(COUNTIF(High_Value_Customers!$B$8:$B$86,H33)&gt;0,"Match","No match")</f>
        <v>Match</v>
      </c>
      <c r="J33" s="12" t="str">
        <f t="shared" si="3"/>
        <v>Nikhil Reddy</v>
      </c>
      <c r="K33" s="12">
        <f>IF(J33&lt;&gt;"",COUNTIF(J$4:J33,"?*"),"")</f>
        <v>20</v>
      </c>
      <c r="L33" s="12" t="str">
        <f>IFERROR(INDEX($J$4:$J$33,MATCH(ROWS(L$4:L33),$K$4:$K$33,0)),"")</f>
        <v/>
      </c>
    </row>
    <row r="35" spans="8:12" x14ac:dyDescent="0.3">
      <c r="H35" s="5" t="s">
        <v>563</v>
      </c>
      <c r="I35" s="5">
        <f>COUNTIF(I4:I33,"Match")</f>
        <v>20</v>
      </c>
    </row>
    <row r="36" spans="8:12" x14ac:dyDescent="0.3">
      <c r="H36" s="5" t="s">
        <v>564</v>
      </c>
      <c r="I36" s="5">
        <f>COUNTIF(I4:I33,"No match")</f>
        <v>10</v>
      </c>
    </row>
  </sheetData>
  <mergeCells count="1">
    <mergeCell ref="A1:L1"/>
  </mergeCells>
  <conditionalFormatting sqref="B4:B13">
    <cfRule type="dataBar" priority="2">
      <dataBar>
        <cfvo type="num" val="0"/>
        <cfvo type="max"/>
        <color rgb="FFA9D08E"/>
      </dataBar>
      <extLst>
        <ext xmlns:x14="http://schemas.microsoft.com/office/spreadsheetml/2009/9/main" uri="{B025F937-C7B1-47D3-B67F-A62EFF666E3E}">
          <x14:id>{77D3B751-42D7-468B-8030-F092F0EA6175}</x14:id>
        </ext>
      </extLst>
    </cfRule>
  </conditionalFormatting>
  <conditionalFormatting sqref="I4:I33">
    <cfRule type="expression" dxfId="0" priority="3">
      <formula>$I4="Match"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D3B751-42D7-468B-8030-F092F0EA6175}">
            <x14:dataBar axisPosition="none">
              <x14:cfvo type="num">
                <xm:f>0</xm:f>
              </x14:cfvo>
              <x14:cfvo type="max"/>
              <x14:negativeFillColor rgb="FFA9D08E"/>
            </x14:dataBar>
          </x14:cfRule>
          <xm:sqref>B4:B13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K27"/>
  <sheetViews>
    <sheetView zoomScaleNormal="100" workbookViewId="0">
      <selection sqref="A1:K1"/>
    </sheetView>
  </sheetViews>
  <sheetFormatPr defaultColWidth="8.6640625" defaultRowHeight="14.4" x14ac:dyDescent="0.3"/>
  <cols>
    <col min="1" max="1" width="20" customWidth="1"/>
    <col min="2" max="2" width="15" customWidth="1"/>
    <col min="3" max="3" width="16" customWidth="1"/>
    <col min="4" max="4" width="18" customWidth="1"/>
    <col min="5" max="5" width="3" customWidth="1"/>
    <col min="6" max="7" width="18" customWidth="1"/>
    <col min="8" max="8" width="12" customWidth="1"/>
    <col min="9" max="9" width="13" customWidth="1"/>
  </cols>
  <sheetData>
    <row r="1" spans="1:11" ht="30" customHeight="1" x14ac:dyDescent="0.3">
      <c r="A1" s="3" t="s">
        <v>565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4" t="s">
        <v>566</v>
      </c>
    </row>
    <row r="3" spans="1:11" x14ac:dyDescent="0.3">
      <c r="A3" s="8" t="s">
        <v>31</v>
      </c>
      <c r="B3" s="8" t="s">
        <v>567</v>
      </c>
      <c r="C3" s="8" t="s">
        <v>568</v>
      </c>
      <c r="D3" s="8" t="s">
        <v>569</v>
      </c>
      <c r="F3" s="8" t="s">
        <v>506</v>
      </c>
      <c r="G3" s="8" t="s">
        <v>570</v>
      </c>
      <c r="H3" s="8" t="s">
        <v>48</v>
      </c>
      <c r="I3" s="8" t="s">
        <v>571</v>
      </c>
    </row>
    <row r="4" spans="1:11" x14ac:dyDescent="0.3">
      <c r="A4" s="12" t="s">
        <v>35</v>
      </c>
      <c r="B4" s="12" t="str">
        <f t="shared" ref="B4:B13" si="0">UPPER(LEFT(A4,3))</f>
        <v>LAP</v>
      </c>
      <c r="C4" s="12" t="str">
        <f t="shared" ref="C4:C13" si="1">UPPER(LEFT(A4,1))&amp;LOWER(MID(A4,2,3))&amp;"."</f>
        <v>Lapt.</v>
      </c>
      <c r="D4" s="12">
        <f t="shared" ref="D4:D13" si="2">LEN(A4)</f>
        <v>6</v>
      </c>
      <c r="F4" s="12" t="s">
        <v>64</v>
      </c>
      <c r="G4" s="12" t="str">
        <f>IFERROR(UPPER(LEFT(F4,1)&amp;MID(F4,FIND(" ",F4)+1,1)),UPPER(LEFT(F4,2)))</f>
        <v>CC</v>
      </c>
      <c r="H4" s="12" t="s">
        <v>49</v>
      </c>
      <c r="I4" s="12" t="str">
        <f>UPPER(LEFT(H4,1))&amp;"-"&amp;UPPER(RIGHT(H4,1))</f>
        <v>N-H</v>
      </c>
    </row>
    <row r="5" spans="1:11" x14ac:dyDescent="0.3">
      <c r="A5" s="12" t="s">
        <v>36</v>
      </c>
      <c r="B5" s="12" t="str">
        <f t="shared" si="0"/>
        <v>SMA</v>
      </c>
      <c r="C5" s="12" t="str">
        <f t="shared" si="1"/>
        <v>Smar.</v>
      </c>
      <c r="D5" s="12">
        <f t="shared" si="2"/>
        <v>10</v>
      </c>
      <c r="F5" s="12" t="s">
        <v>65</v>
      </c>
      <c r="G5" s="12" t="str">
        <f>IFERROR(UPPER(LEFT(F5,1)&amp;MID(F5,FIND(" ",F5)+1,1)),UPPER(LEFT(F5,2)))</f>
        <v>DC</v>
      </c>
      <c r="H5" s="12" t="s">
        <v>51</v>
      </c>
      <c r="I5" s="12" t="str">
        <f>UPPER(LEFT(H5,1))&amp;"-"&amp;UPPER(RIGHT(H5,1))</f>
        <v>S-H</v>
      </c>
    </row>
    <row r="6" spans="1:11" x14ac:dyDescent="0.3">
      <c r="A6" s="12" t="s">
        <v>38</v>
      </c>
      <c r="B6" s="12" t="str">
        <f t="shared" si="0"/>
        <v>MON</v>
      </c>
      <c r="C6" s="12" t="str">
        <f t="shared" si="1"/>
        <v>Moni.</v>
      </c>
      <c r="D6" s="12">
        <f t="shared" si="2"/>
        <v>7</v>
      </c>
      <c r="F6" s="12" t="s">
        <v>66</v>
      </c>
      <c r="G6" s="12" t="str">
        <f>IFERROR(UPPER(LEFT(F6,1)&amp;MID(F6,FIND(" ",F6)+1,1)),UPPER(LEFT(F6,2)))</f>
        <v>UP</v>
      </c>
      <c r="H6" s="12" t="s">
        <v>52</v>
      </c>
      <c r="I6" s="12" t="str">
        <f>UPPER(LEFT(H6,1))&amp;"-"&amp;UPPER(RIGHT(H6,1))</f>
        <v>E-T</v>
      </c>
    </row>
    <row r="7" spans="1:11" x14ac:dyDescent="0.3">
      <c r="A7" s="12" t="s">
        <v>39</v>
      </c>
      <c r="B7" s="12" t="str">
        <f t="shared" si="0"/>
        <v>TAB</v>
      </c>
      <c r="C7" s="12" t="str">
        <f t="shared" si="1"/>
        <v>Tabl.</v>
      </c>
      <c r="D7" s="12">
        <f t="shared" si="2"/>
        <v>6</v>
      </c>
      <c r="F7" s="12" t="s">
        <v>67</v>
      </c>
      <c r="G7" s="12" t="str">
        <f>IFERROR(UPPER(LEFT(F7,1)&amp;MID(F7,FIND(" ",F7)+1,1)),UPPER(LEFT(F7,2)))</f>
        <v>CA</v>
      </c>
      <c r="H7" s="12" t="s">
        <v>53</v>
      </c>
      <c r="I7" s="12" t="str">
        <f>UPPER(LEFT(H7,1))&amp;"-"&amp;UPPER(RIGHT(H7,1))</f>
        <v>W-T</v>
      </c>
    </row>
    <row r="8" spans="1:11" x14ac:dyDescent="0.3">
      <c r="A8" s="12" t="s">
        <v>40</v>
      </c>
      <c r="B8" s="12" t="str">
        <f t="shared" si="0"/>
        <v>SMA</v>
      </c>
      <c r="C8" s="12" t="str">
        <f t="shared" si="1"/>
        <v>Smar.</v>
      </c>
      <c r="D8" s="12">
        <f t="shared" si="2"/>
        <v>10</v>
      </c>
      <c r="F8" s="12" t="s">
        <v>68</v>
      </c>
      <c r="G8" s="12" t="str">
        <f>IFERROR(UPPER(LEFT(F8,1)&amp;MID(F8,FIND(" ",F8)+1,1)),UPPER(LEFT(F8,2)))</f>
        <v>NB</v>
      </c>
      <c r="H8" s="12" t="s">
        <v>55</v>
      </c>
      <c r="I8" s="12" t="str">
        <f>UPPER(LEFT(H8,1))&amp;"-"&amp;UPPER(RIGHT(H8,1))</f>
        <v>C-L</v>
      </c>
    </row>
    <row r="9" spans="1:11" x14ac:dyDescent="0.3">
      <c r="A9" s="12" t="s">
        <v>41</v>
      </c>
      <c r="B9" s="12" t="str">
        <f t="shared" si="0"/>
        <v>PRI</v>
      </c>
      <c r="C9" s="12" t="str">
        <f t="shared" si="1"/>
        <v>Prin.</v>
      </c>
      <c r="D9" s="12">
        <f t="shared" si="2"/>
        <v>7</v>
      </c>
    </row>
    <row r="10" spans="1:11" x14ac:dyDescent="0.3">
      <c r="A10" s="12" t="s">
        <v>43</v>
      </c>
      <c r="B10" s="12" t="str">
        <f t="shared" si="0"/>
        <v>HEA</v>
      </c>
      <c r="C10" s="12" t="str">
        <f t="shared" si="1"/>
        <v>Head.</v>
      </c>
      <c r="D10" s="12">
        <f t="shared" si="2"/>
        <v>10</v>
      </c>
    </row>
    <row r="11" spans="1:11" x14ac:dyDescent="0.3">
      <c r="A11" s="12" t="s">
        <v>44</v>
      </c>
      <c r="B11" s="12" t="str">
        <f t="shared" si="0"/>
        <v>WEB</v>
      </c>
      <c r="C11" s="12" t="str">
        <f t="shared" si="1"/>
        <v>Webc.</v>
      </c>
      <c r="D11" s="12">
        <f t="shared" si="2"/>
        <v>6</v>
      </c>
    </row>
    <row r="12" spans="1:11" x14ac:dyDescent="0.3">
      <c r="A12" s="12" t="s">
        <v>45</v>
      </c>
      <c r="B12" s="12" t="str">
        <f t="shared" si="0"/>
        <v>KEY</v>
      </c>
      <c r="C12" s="12" t="str">
        <f t="shared" si="1"/>
        <v>Keyb.</v>
      </c>
      <c r="D12" s="12">
        <f t="shared" si="2"/>
        <v>8</v>
      </c>
    </row>
    <row r="13" spans="1:11" x14ac:dyDescent="0.3">
      <c r="A13" s="12" t="s">
        <v>46</v>
      </c>
      <c r="B13" s="12" t="str">
        <f t="shared" si="0"/>
        <v>MOU</v>
      </c>
      <c r="C13" s="12" t="str">
        <f t="shared" si="1"/>
        <v>Mous.</v>
      </c>
      <c r="D13" s="12">
        <f t="shared" si="2"/>
        <v>5</v>
      </c>
    </row>
    <row r="15" spans="1:11" x14ac:dyDescent="0.3">
      <c r="A15" s="8" t="s">
        <v>527</v>
      </c>
      <c r="B15" s="8" t="s">
        <v>85</v>
      </c>
      <c r="C15" s="8" t="s">
        <v>572</v>
      </c>
      <c r="D15" s="8" t="s">
        <v>573</v>
      </c>
    </row>
    <row r="16" spans="1:11" x14ac:dyDescent="0.3">
      <c r="A16" s="12" t="str">
        <f>High_Value_Customers!B8</f>
        <v>Rahul Joshi</v>
      </c>
      <c r="B16" s="12" t="str">
        <f t="shared" ref="B16:B25" si="3">LEFT(A16,1)&amp;MID(A16,FIND(" ",A16)+1,1)</f>
        <v>RJ</v>
      </c>
      <c r="C16" s="12" t="str">
        <f t="shared" ref="C16:C25" si="4">UPPER(LEFT(A16,1))&amp;". "&amp;PROPER(MID(A16,FIND(" ",A16)+1,50))</f>
        <v>R. Joshi</v>
      </c>
      <c r="D16" s="12" t="str">
        <f>'Final Project Dataset'!Q2</f>
        <v>HEA-0125-07390</v>
      </c>
    </row>
    <row r="17" spans="1:4" x14ac:dyDescent="0.3">
      <c r="A17" s="12" t="str">
        <f>High_Value_Customers!B9</f>
        <v>Karan Bhatt</v>
      </c>
      <c r="B17" s="12" t="str">
        <f t="shared" si="3"/>
        <v>KB</v>
      </c>
      <c r="C17" s="12" t="str">
        <f t="shared" si="4"/>
        <v>K. Bhatt</v>
      </c>
      <c r="D17" s="12" t="str">
        <f>'Final Project Dataset'!Q3</f>
        <v>PRI-0125-09403</v>
      </c>
    </row>
    <row r="18" spans="1:4" x14ac:dyDescent="0.3">
      <c r="A18" s="12" t="str">
        <f>High_Value_Customers!B10</f>
        <v>Kavya Reddy</v>
      </c>
      <c r="B18" s="12" t="str">
        <f t="shared" si="3"/>
        <v>KR</v>
      </c>
      <c r="C18" s="12" t="str">
        <f t="shared" si="4"/>
        <v>K. Reddy</v>
      </c>
      <c r="D18" s="12" t="str">
        <f>'Final Project Dataset'!Q4</f>
        <v>TAB-0125-34624</v>
      </c>
    </row>
    <row r="19" spans="1:4" x14ac:dyDescent="0.3">
      <c r="A19" s="12" t="str">
        <f>High_Value_Customers!B11</f>
        <v>Vihaan Nair</v>
      </c>
      <c r="B19" s="12" t="str">
        <f t="shared" si="3"/>
        <v>VN</v>
      </c>
      <c r="C19" s="12" t="str">
        <f t="shared" si="4"/>
        <v>V. Nair</v>
      </c>
      <c r="D19" s="12" t="str">
        <f>'Final Project Dataset'!Q5</f>
        <v>WEB-0125-08751</v>
      </c>
    </row>
    <row r="20" spans="1:4" x14ac:dyDescent="0.3">
      <c r="A20" s="12" t="str">
        <f>High_Value_Customers!B12</f>
        <v>Aditya Joshi</v>
      </c>
      <c r="B20" s="12" t="str">
        <f t="shared" si="3"/>
        <v>AJ</v>
      </c>
      <c r="C20" s="12" t="str">
        <f t="shared" si="4"/>
        <v>A. Joshi</v>
      </c>
      <c r="D20" s="12" t="str">
        <f>'Final Project Dataset'!Q6</f>
        <v>SMA-0125-42690</v>
      </c>
    </row>
    <row r="21" spans="1:4" x14ac:dyDescent="0.3">
      <c r="A21" s="12" t="str">
        <f>High_Value_Customers!B13</f>
        <v>Riya Shah</v>
      </c>
      <c r="B21" s="12" t="str">
        <f t="shared" si="3"/>
        <v>RS</v>
      </c>
      <c r="C21" s="12" t="str">
        <f t="shared" si="4"/>
        <v>R. Shah</v>
      </c>
      <c r="D21" s="12" t="str">
        <f>'Final Project Dataset'!Q7</f>
        <v>HEA-0125-18590</v>
      </c>
    </row>
    <row r="22" spans="1:4" x14ac:dyDescent="0.3">
      <c r="A22" s="12" t="str">
        <f>High_Value_Customers!B14</f>
        <v>Rohan Sharma</v>
      </c>
      <c r="B22" s="12" t="str">
        <f t="shared" si="3"/>
        <v>RS</v>
      </c>
      <c r="C22" s="12" t="str">
        <f t="shared" si="4"/>
        <v>R. Sharma</v>
      </c>
      <c r="D22" s="12" t="str">
        <f>'Final Project Dataset'!Q8</f>
        <v>KEY-0125-01978</v>
      </c>
    </row>
    <row r="23" spans="1:4" x14ac:dyDescent="0.3">
      <c r="A23" s="12" t="str">
        <f>High_Value_Customers!B15</f>
        <v>Amit Singh</v>
      </c>
      <c r="B23" s="12" t="str">
        <f t="shared" si="3"/>
        <v>AS</v>
      </c>
      <c r="C23" s="12" t="str">
        <f t="shared" si="4"/>
        <v>A. Singh</v>
      </c>
      <c r="D23" s="12" t="str">
        <f>'Final Project Dataset'!Q9</f>
        <v>KEY-0125-05469</v>
      </c>
    </row>
    <row r="24" spans="1:4" x14ac:dyDescent="0.3">
      <c r="A24" s="12" t="str">
        <f>High_Value_Customers!B16</f>
        <v>Sanjay Reddy</v>
      </c>
      <c r="B24" s="12" t="str">
        <f t="shared" si="3"/>
        <v>SR</v>
      </c>
      <c r="C24" s="12" t="str">
        <f t="shared" si="4"/>
        <v>S. Reddy</v>
      </c>
      <c r="D24" s="12" t="str">
        <f>'Final Project Dataset'!Q10</f>
        <v>LAP-0125-46180</v>
      </c>
    </row>
    <row r="25" spans="1:4" x14ac:dyDescent="0.3">
      <c r="A25" s="12" t="str">
        <f>High_Value_Customers!B17</f>
        <v>Vihaan Bhatt</v>
      </c>
      <c r="B25" s="12" t="str">
        <f t="shared" si="3"/>
        <v>VB</v>
      </c>
      <c r="C25" s="12" t="str">
        <f t="shared" si="4"/>
        <v>V. Bhatt</v>
      </c>
      <c r="D25" s="12" t="str">
        <f>'Final Project Dataset'!Q11</f>
        <v>SMA-0125-08460</v>
      </c>
    </row>
    <row r="27" spans="1:4" x14ac:dyDescent="0.3">
      <c r="A27" s="4" t="s">
        <v>574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D26"/>
  <sheetViews>
    <sheetView topLeftCell="A6" zoomScaleNormal="100" workbookViewId="0">
      <selection activeCell="A19" sqref="A19"/>
    </sheetView>
  </sheetViews>
  <sheetFormatPr defaultColWidth="8.6640625" defaultRowHeight="14.4" x14ac:dyDescent="0.3"/>
  <cols>
    <col min="1" max="1" width="46" customWidth="1"/>
    <col min="2" max="2" width="30" customWidth="1"/>
    <col min="3" max="3" width="40" customWidth="1"/>
  </cols>
  <sheetData>
    <row r="1" spans="1:4" ht="30" customHeight="1" x14ac:dyDescent="0.3">
      <c r="A1" s="3" t="s">
        <v>575</v>
      </c>
      <c r="B1" s="3"/>
      <c r="C1" s="3"/>
      <c r="D1" s="3"/>
    </row>
    <row r="2" spans="1:4" x14ac:dyDescent="0.3">
      <c r="A2" s="4" t="s">
        <v>576</v>
      </c>
    </row>
    <row r="3" spans="1:4" x14ac:dyDescent="0.3">
      <c r="A3" s="9" t="s">
        <v>577</v>
      </c>
      <c r="B3" s="47">
        <f ca="1">TODAY()</f>
        <v>46325</v>
      </c>
    </row>
    <row r="4" spans="1:4" x14ac:dyDescent="0.3">
      <c r="A4" s="9" t="s">
        <v>578</v>
      </c>
      <c r="B4" s="48">
        <f ca="1">NOW()</f>
        <v>46325.668819328705</v>
      </c>
    </row>
    <row r="5" spans="1:4" x14ac:dyDescent="0.3">
      <c r="A5" s="9" t="s">
        <v>579</v>
      </c>
      <c r="B5" s="47">
        <f>MIN('Final Project Dataset'!$B$2:$B$251)</f>
        <v>45658</v>
      </c>
    </row>
    <row r="6" spans="1:4" x14ac:dyDescent="0.3">
      <c r="A6" s="9" t="s">
        <v>580</v>
      </c>
      <c r="B6" s="47">
        <f>MAX('Final Project Dataset'!$B$2:$B$251)</f>
        <v>46021</v>
      </c>
    </row>
    <row r="7" spans="1:4" x14ac:dyDescent="0.3">
      <c r="A7" s="9" t="s">
        <v>581</v>
      </c>
      <c r="B7" s="49" t="str">
        <f>DATEDIF(B5,B6,"y")&amp;" yrs "&amp;DATEDIF(B5,B6,"ym")&amp;" mths "&amp;DATEDIF(B5,B6,"md")&amp;" days"</f>
        <v>0 yrs 11 mths 29 days</v>
      </c>
    </row>
    <row r="8" spans="1:4" x14ac:dyDescent="0.3">
      <c r="A8" s="9" t="s">
        <v>582</v>
      </c>
      <c r="B8" s="49" t="str">
        <f ca="1">DATEDIF(B6,B3,"y")&amp;" yrs "&amp;DATEDIF(B6,B3,"ym")&amp;" mths "&amp;DATEDIF(B6,B3,"md")&amp;" days"</f>
        <v>0 yrs 10 mths 0 days</v>
      </c>
    </row>
    <row r="9" spans="1:4" x14ac:dyDescent="0.3">
      <c r="A9" s="9" t="s">
        <v>583</v>
      </c>
      <c r="B9" s="47">
        <f>EOMONTH(B6,0)</f>
        <v>46022</v>
      </c>
    </row>
    <row r="10" spans="1:4" x14ac:dyDescent="0.3">
      <c r="A10" s="9" t="s">
        <v>584</v>
      </c>
      <c r="B10" s="47">
        <f>EOMONTH(B6,-1)</f>
        <v>45991</v>
      </c>
    </row>
    <row r="11" spans="1:4" x14ac:dyDescent="0.3">
      <c r="A11" s="9" t="s">
        <v>585</v>
      </c>
      <c r="B11" s="47">
        <f>EOMONTH(B6,1)</f>
        <v>46053</v>
      </c>
    </row>
    <row r="12" spans="1:4" x14ac:dyDescent="0.3">
      <c r="A12" s="9" t="s">
        <v>586</v>
      </c>
      <c r="B12" s="50">
        <f ca="1">EOMONTH(B3,0)-B3</f>
        <v>1</v>
      </c>
    </row>
    <row r="13" spans="1:4" x14ac:dyDescent="0.3">
      <c r="A13" s="9" t="s">
        <v>587</v>
      </c>
      <c r="B13" s="47">
        <f>EOMONTH(B5,2-MOD(MONTH(B5)-1,3))</f>
        <v>45747</v>
      </c>
    </row>
    <row r="14" spans="1:4" x14ac:dyDescent="0.3">
      <c r="A14" s="9" t="s">
        <v>588</v>
      </c>
      <c r="B14" s="51">
        <f>(B6-B5)/(COUNT('Final Project Dataset'!$B$2:$B$251)-1)</f>
        <v>1.4578313253012047</v>
      </c>
    </row>
    <row r="17" spans="1:3" x14ac:dyDescent="0.3">
      <c r="A17" s="5" t="s">
        <v>589</v>
      </c>
    </row>
    <row r="18" spans="1:3" x14ac:dyDescent="0.3">
      <c r="A18" s="8" t="s">
        <v>590</v>
      </c>
      <c r="B18" s="8" t="s">
        <v>591</v>
      </c>
      <c r="C18" s="8" t="s">
        <v>592</v>
      </c>
    </row>
    <row r="19" spans="1:3" x14ac:dyDescent="0.3">
      <c r="A19" s="6" t="s">
        <v>593</v>
      </c>
      <c r="B19" s="52">
        <f t="shared" ref="B19:B26" ca="1" si="0">IF(A19&lt;&gt;"",IF(OR(B19="",B19=0),NOW(),B19),"")</f>
        <v>46325.425092792299</v>
      </c>
      <c r="C19" s="4" t="s">
        <v>594</v>
      </c>
    </row>
    <row r="20" spans="1:3" x14ac:dyDescent="0.3">
      <c r="A20" s="6" t="s">
        <v>595</v>
      </c>
      <c r="B20" s="52">
        <f t="shared" ca="1" si="0"/>
        <v>46325.425092792502</v>
      </c>
      <c r="C20" s="4" t="s">
        <v>596</v>
      </c>
    </row>
    <row r="21" spans="1:3" x14ac:dyDescent="0.3">
      <c r="A21" s="6" t="s">
        <v>597</v>
      </c>
      <c r="B21" s="52">
        <f t="shared" ca="1" si="0"/>
        <v>46325.425092792597</v>
      </c>
    </row>
    <row r="22" spans="1:3" x14ac:dyDescent="0.3">
      <c r="A22" s="6"/>
      <c r="B22" s="52" t="str">
        <f t="shared" ca="1" si="0"/>
        <v/>
      </c>
    </row>
    <row r="23" spans="1:3" x14ac:dyDescent="0.3">
      <c r="A23" s="6"/>
      <c r="B23" s="52" t="str">
        <f t="shared" ca="1" si="0"/>
        <v/>
      </c>
    </row>
    <row r="24" spans="1:3" x14ac:dyDescent="0.3">
      <c r="A24" s="6"/>
      <c r="B24" s="52" t="str">
        <f t="shared" ca="1" si="0"/>
        <v/>
      </c>
    </row>
    <row r="25" spans="1:3" x14ac:dyDescent="0.3">
      <c r="A25" s="6"/>
      <c r="B25" s="52" t="str">
        <f t="shared" ca="1" si="0"/>
        <v/>
      </c>
    </row>
    <row r="26" spans="1:3" x14ac:dyDescent="0.3">
      <c r="A26" s="6"/>
      <c r="B26" s="52" t="str">
        <f t="shared" ca="1" si="0"/>
        <v/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8F00"/>
  </sheetPr>
  <dimension ref="A1:G28"/>
  <sheetViews>
    <sheetView topLeftCell="A16" zoomScaleNormal="100" workbookViewId="0">
      <selection sqref="A1:F1"/>
    </sheetView>
  </sheetViews>
  <sheetFormatPr defaultColWidth="8.6640625" defaultRowHeight="14.4" x14ac:dyDescent="0.3"/>
  <cols>
    <col min="1" max="1" width="36" customWidth="1"/>
    <col min="2" max="2" width="16" customWidth="1"/>
    <col min="3" max="3" width="3" customWidth="1"/>
    <col min="4" max="4" width="22" customWidth="1"/>
    <col min="5" max="7" width="14" customWidth="1"/>
  </cols>
  <sheetData>
    <row r="1" spans="1:7" ht="30" customHeight="1" x14ac:dyDescent="0.3">
      <c r="A1" s="3" t="s">
        <v>598</v>
      </c>
      <c r="B1" s="3"/>
      <c r="C1" s="3"/>
      <c r="D1" s="3"/>
      <c r="E1" s="3"/>
      <c r="F1" s="3"/>
    </row>
    <row r="2" spans="1:7" x14ac:dyDescent="0.3">
      <c r="A2" s="4" t="s">
        <v>599</v>
      </c>
    </row>
    <row r="3" spans="1:7" x14ac:dyDescent="0.3">
      <c r="A3" s="53" t="s">
        <v>600</v>
      </c>
      <c r="D3" s="53" t="s">
        <v>601</v>
      </c>
    </row>
    <row r="4" spans="1:7" x14ac:dyDescent="0.3">
      <c r="A4" s="12" t="s">
        <v>602</v>
      </c>
      <c r="B4" s="13">
        <f>SUM('Final Project Dataset'!$F$2:$F$251)</f>
        <v>5262053</v>
      </c>
      <c r="D4" s="8" t="s">
        <v>603</v>
      </c>
      <c r="E4" s="8" t="s">
        <v>604</v>
      </c>
      <c r="F4" s="8" t="s">
        <v>605</v>
      </c>
      <c r="G4" s="8" t="s">
        <v>606</v>
      </c>
    </row>
    <row r="5" spans="1:7" x14ac:dyDescent="0.3">
      <c r="A5" s="12" t="s">
        <v>607</v>
      </c>
      <c r="B5" s="13">
        <f>SUM('Final Project Dataset'!$H$2:$H$251)</f>
        <v>800178.26</v>
      </c>
      <c r="D5" s="12" t="s">
        <v>608</v>
      </c>
      <c r="E5" s="17">
        <v>0</v>
      </c>
      <c r="F5" s="17">
        <v>0.05</v>
      </c>
      <c r="G5" s="17">
        <v>-0.05</v>
      </c>
    </row>
    <row r="6" spans="1:7" x14ac:dyDescent="0.3">
      <c r="A6" s="12" t="s">
        <v>609</v>
      </c>
      <c r="B6" s="13">
        <f>B4-B5</f>
        <v>4461874.74</v>
      </c>
      <c r="D6" s="12" t="s">
        <v>610</v>
      </c>
      <c r="E6" s="17">
        <v>0</v>
      </c>
      <c r="F6" s="17">
        <v>0.1</v>
      </c>
      <c r="G6" s="17">
        <v>-0.1</v>
      </c>
    </row>
    <row r="7" spans="1:7" x14ac:dyDescent="0.3">
      <c r="A7" s="12" t="s">
        <v>611</v>
      </c>
      <c r="B7" s="30">
        <f>SUM('Final Project Dataset'!$D$2:$D$251)</f>
        <v>484</v>
      </c>
      <c r="D7" s="12" t="s">
        <v>612</v>
      </c>
      <c r="E7" s="17">
        <v>0</v>
      </c>
      <c r="F7" s="17">
        <v>-0.03</v>
      </c>
      <c r="G7" s="17">
        <v>0.05</v>
      </c>
    </row>
    <row r="9" spans="1:7" x14ac:dyDescent="0.3">
      <c r="D9" s="12" t="s">
        <v>32</v>
      </c>
      <c r="E9" s="13">
        <f>$B$4*(1+E5)*(1+E6)</f>
        <v>5262053</v>
      </c>
      <c r="F9" s="13">
        <f>$B$4*(1+F5)*(1+F6)</f>
        <v>6077671.2150000008</v>
      </c>
      <c r="G9" s="13">
        <f>$B$4*(1+G5)*(1+G6)</f>
        <v>4499055.3149999995</v>
      </c>
    </row>
    <row r="10" spans="1:7" x14ac:dyDescent="0.3">
      <c r="A10" s="53" t="s">
        <v>613</v>
      </c>
      <c r="D10" s="12" t="s">
        <v>614</v>
      </c>
      <c r="E10" s="13">
        <f>$B$6*(1+E6)*(1+E7)</f>
        <v>4461874.74</v>
      </c>
      <c r="F10" s="13">
        <f>$B$6*(1+F6)*(1+F7)</f>
        <v>4760820.3475800008</v>
      </c>
      <c r="G10" s="13">
        <f>$B$6*(1+G6)*(1+G7)</f>
        <v>4216471.6293000001</v>
      </c>
    </row>
    <row r="11" spans="1:7" x14ac:dyDescent="0.3">
      <c r="A11" s="12" t="s">
        <v>608</v>
      </c>
      <c r="B11" s="17">
        <v>0</v>
      </c>
      <c r="D11" s="9" t="s">
        <v>33</v>
      </c>
      <c r="E11" s="10">
        <f>E9-E10</f>
        <v>800178.25999999978</v>
      </c>
      <c r="F11" s="10">
        <f>F9-F10</f>
        <v>1316850.86742</v>
      </c>
      <c r="G11" s="10">
        <f>G9-G10</f>
        <v>282583.68569999933</v>
      </c>
    </row>
    <row r="12" spans="1:7" x14ac:dyDescent="0.3">
      <c r="A12" s="12" t="s">
        <v>610</v>
      </c>
      <c r="B12" s="17">
        <v>0</v>
      </c>
      <c r="D12" s="12" t="s">
        <v>34</v>
      </c>
      <c r="E12" s="16">
        <f>IF(E9=0,0,E11/E9)</f>
        <v>0.15206579257183456</v>
      </c>
      <c r="F12" s="16">
        <f>IF(F9=0,0,F11/F9)</f>
        <v>0.21667030361398051</v>
      </c>
      <c r="G12" s="16">
        <f>IF(G9=0,0,G11/G9)</f>
        <v>6.2809560210974946E-2</v>
      </c>
    </row>
    <row r="13" spans="1:7" x14ac:dyDescent="0.3">
      <c r="A13" s="12" t="s">
        <v>612</v>
      </c>
      <c r="B13" s="17">
        <v>0</v>
      </c>
      <c r="D13" s="12" t="s">
        <v>615</v>
      </c>
      <c r="E13" s="54">
        <f>E11/$B$5-1</f>
        <v>0</v>
      </c>
      <c r="F13" s="54">
        <f>F11/$B$5-1</f>
        <v>0.6456968818672979</v>
      </c>
      <c r="G13" s="54">
        <f>G11/$B$5-1</f>
        <v>-0.64684908372791916</v>
      </c>
    </row>
    <row r="15" spans="1:7" x14ac:dyDescent="0.3">
      <c r="A15" s="53" t="s">
        <v>616</v>
      </c>
    </row>
    <row r="16" spans="1:7" x14ac:dyDescent="0.3">
      <c r="A16" s="12" t="s">
        <v>617</v>
      </c>
      <c r="B16" s="13">
        <f>B4*(1+B11)*(1+B12)</f>
        <v>5262053</v>
      </c>
    </row>
    <row r="17" spans="1:4" x14ac:dyDescent="0.3">
      <c r="A17" s="12" t="s">
        <v>618</v>
      </c>
      <c r="B17" s="13">
        <f>B6*(1+B12)*(1+B13)</f>
        <v>4461874.74</v>
      </c>
      <c r="D17" s="5" t="s">
        <v>619</v>
      </c>
    </row>
    <row r="18" spans="1:4" x14ac:dyDescent="0.3">
      <c r="A18" s="9" t="s">
        <v>620</v>
      </c>
      <c r="B18" s="10">
        <f>B16-B17</f>
        <v>800178.25999999978</v>
      </c>
      <c r="D18" s="35" t="s">
        <v>621</v>
      </c>
    </row>
    <row r="19" spans="1:4" x14ac:dyDescent="0.3">
      <c r="A19" s="12" t="s">
        <v>622</v>
      </c>
      <c r="B19" s="16">
        <f>IF(B16=0,0,B18/B16)</f>
        <v>0.15206579257183456</v>
      </c>
      <c r="D19" s="35" t="s">
        <v>623</v>
      </c>
    </row>
    <row r="20" spans="1:4" x14ac:dyDescent="0.3">
      <c r="A20" s="12" t="s">
        <v>615</v>
      </c>
      <c r="B20" s="54">
        <f>B18/B5-1</f>
        <v>0</v>
      </c>
    </row>
    <row r="21" spans="1:4" x14ac:dyDescent="0.3">
      <c r="D21" s="5" t="s">
        <v>624</v>
      </c>
    </row>
    <row r="22" spans="1:4" x14ac:dyDescent="0.3">
      <c r="D22" s="35" t="s">
        <v>625</v>
      </c>
    </row>
    <row r="23" spans="1:4" x14ac:dyDescent="0.3">
      <c r="A23" s="53" t="s">
        <v>626</v>
      </c>
    </row>
    <row r="24" spans="1:4" x14ac:dyDescent="0.3">
      <c r="A24" s="12" t="s">
        <v>627</v>
      </c>
      <c r="B24" s="38">
        <v>0.2</v>
      </c>
    </row>
    <row r="25" spans="1:4" x14ac:dyDescent="0.3">
      <c r="A25" s="12" t="s">
        <v>628</v>
      </c>
      <c r="B25" s="13">
        <f>B5*(1+B24)</f>
        <v>960213.91200000001</v>
      </c>
    </row>
    <row r="26" spans="1:4" x14ac:dyDescent="0.3">
      <c r="A26" s="9" t="s">
        <v>629</v>
      </c>
      <c r="B26" s="55">
        <f>B25/(B4*(1+B11)-B6*(1+B13))-1</f>
        <v>0.2000000000000004</v>
      </c>
    </row>
    <row r="27" spans="1:4" x14ac:dyDescent="0.3">
      <c r="A27" s="12" t="s">
        <v>630</v>
      </c>
      <c r="B27" s="13">
        <f>(1+B26)*(B4*(1+B11)-B6*(1+B13))</f>
        <v>960213.91200000001</v>
      </c>
    </row>
    <row r="28" spans="1:4" x14ac:dyDescent="0.3">
      <c r="A28" s="12" t="s">
        <v>631</v>
      </c>
      <c r="B28" s="12">
        <f>ROUND(B27-B25,2)</f>
        <v>0</v>
      </c>
    </row>
  </sheetData>
  <scenarios current="0" show="0">
    <scenario name="Base" count="3" user="Calc" comment="Base case">
      <inputCells r="B11" val="0"/>
      <inputCells r="B12" val="0"/>
      <inputCells r="B13" val="0"/>
    </scenario>
    <scenario name="Optimistic" count="3" user="Calc" comment="Optimistic case">
      <inputCells r="B11" val="0.05"/>
      <inputCells r="B12" val="0.1"/>
      <inputCells r="B13" val="-0.03"/>
    </scenario>
    <scenario name="Pessimistic" count="3" user="Calc" comment="Pessimistic case">
      <inputCells r="B11" val="-0.05"/>
      <inputCells r="B12" val="-0.1"/>
      <inputCells r="B13" val="0.05"/>
    </scenario>
  </scenarios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G23"/>
  <sheetViews>
    <sheetView topLeftCell="A9" zoomScaleNormal="100" workbookViewId="0">
      <selection sqref="A1:G1"/>
    </sheetView>
  </sheetViews>
  <sheetFormatPr defaultColWidth="8.6640625" defaultRowHeight="14.4" x14ac:dyDescent="0.3"/>
  <cols>
    <col min="1" max="1" width="26" customWidth="1"/>
    <col min="2" max="3" width="16" customWidth="1"/>
    <col min="4" max="5" width="14" customWidth="1"/>
    <col min="6" max="6" width="16" customWidth="1"/>
    <col min="7" max="7" width="14" customWidth="1"/>
  </cols>
  <sheetData>
    <row r="1" spans="1:7" ht="30" customHeight="1" x14ac:dyDescent="0.3">
      <c r="A1" s="3" t="s">
        <v>632</v>
      </c>
      <c r="B1" s="3"/>
      <c r="C1" s="3"/>
      <c r="D1" s="3"/>
      <c r="E1" s="3"/>
      <c r="F1" s="3"/>
      <c r="G1" s="3"/>
    </row>
    <row r="2" spans="1:7" x14ac:dyDescent="0.3">
      <c r="A2" s="4" t="s">
        <v>633</v>
      </c>
    </row>
    <row r="3" spans="1:7" x14ac:dyDescent="0.3">
      <c r="A3" s="53" t="s">
        <v>634</v>
      </c>
    </row>
    <row r="4" spans="1:7" x14ac:dyDescent="0.3">
      <c r="A4" s="12" t="s">
        <v>635</v>
      </c>
      <c r="B4" s="56">
        <f>SQRT(B5)</f>
        <v>0.94524319091033349</v>
      </c>
    </row>
    <row r="5" spans="1:7" x14ac:dyDescent="0.3">
      <c r="A5" s="12" t="s">
        <v>636</v>
      </c>
      <c r="B5" s="56">
        <f>RSQ('Final Project Dataset'!$H$2:$H$251,'Final Project Dataset'!$F$2:$F$251)</f>
        <v>0.8934846899623492</v>
      </c>
    </row>
    <row r="6" spans="1:7" x14ac:dyDescent="0.3">
      <c r="A6" s="12" t="s">
        <v>637</v>
      </c>
      <c r="B6" s="56">
        <f>1-(1-B5)*(B8-1)/(B8-2)</f>
        <v>0.89305519274445544</v>
      </c>
    </row>
    <row r="7" spans="1:7" x14ac:dyDescent="0.3">
      <c r="A7" s="12" t="s">
        <v>638</v>
      </c>
      <c r="B7" s="57">
        <f>STEYX('Final Project Dataset'!$H$2:$H$251,'Final Project Dataset'!$F$2:$F$251)</f>
        <v>1251.8111456611371</v>
      </c>
    </row>
    <row r="8" spans="1:7" x14ac:dyDescent="0.3">
      <c r="A8" s="12" t="s">
        <v>639</v>
      </c>
      <c r="B8" s="14">
        <f>COUNT('Final Project Dataset'!$F$2:$F$251)</f>
        <v>250</v>
      </c>
    </row>
    <row r="10" spans="1:7" x14ac:dyDescent="0.3">
      <c r="A10" s="53" t="s">
        <v>640</v>
      </c>
    </row>
    <row r="11" spans="1:7" x14ac:dyDescent="0.3">
      <c r="A11" s="8"/>
      <c r="B11" s="8" t="s">
        <v>641</v>
      </c>
      <c r="C11" s="8" t="s">
        <v>642</v>
      </c>
      <c r="D11" s="8" t="s">
        <v>643</v>
      </c>
      <c r="E11" s="8" t="s">
        <v>644</v>
      </c>
      <c r="F11" s="8" t="s">
        <v>645</v>
      </c>
    </row>
    <row r="12" spans="1:7" x14ac:dyDescent="0.3">
      <c r="A12" s="12" t="s">
        <v>646</v>
      </c>
      <c r="B12" s="12">
        <v>1</v>
      </c>
      <c r="C12" s="30">
        <f>B5*DEVSQ('Final Project Dataset'!$H$2:$H$251)</f>
        <v>3259900827.9565306</v>
      </c>
      <c r="D12" s="30">
        <f>C12/B12</f>
        <v>3259900827.9565306</v>
      </c>
      <c r="E12" s="58">
        <f>D12/D13</f>
        <v>2080.3037894959643</v>
      </c>
      <c r="F12" s="59">
        <f>FDIST(E12,B12,B13)</f>
        <v>1.3415858185718657E-122</v>
      </c>
    </row>
    <row r="13" spans="1:7" x14ac:dyDescent="0.3">
      <c r="A13" s="12" t="s">
        <v>647</v>
      </c>
      <c r="B13" s="12">
        <f>B8-2</f>
        <v>248</v>
      </c>
      <c r="C13" s="30">
        <f>C14-C12</f>
        <v>388623723.8115592</v>
      </c>
      <c r="D13" s="30">
        <f>C13/B13</f>
        <v>1567031.1444014483</v>
      </c>
    </row>
    <row r="14" spans="1:7" x14ac:dyDescent="0.3">
      <c r="A14" s="12" t="s">
        <v>648</v>
      </c>
      <c r="B14" s="12">
        <f>B8-1</f>
        <v>249</v>
      </c>
      <c r="C14" s="30">
        <f>DEVSQ('Final Project Dataset'!$H$2:$H$251)</f>
        <v>3648524551.7680898</v>
      </c>
    </row>
    <row r="16" spans="1:7" x14ac:dyDescent="0.3">
      <c r="A16" s="8"/>
      <c r="B16" s="8" t="s">
        <v>649</v>
      </c>
      <c r="C16" s="8" t="s">
        <v>638</v>
      </c>
      <c r="D16" s="8" t="s">
        <v>650</v>
      </c>
      <c r="E16" s="8" t="s">
        <v>651</v>
      </c>
      <c r="F16" s="8" t="s">
        <v>652</v>
      </c>
      <c r="G16" s="8" t="s">
        <v>653</v>
      </c>
    </row>
    <row r="17" spans="1:7" x14ac:dyDescent="0.3">
      <c r="A17" s="12" t="s">
        <v>654</v>
      </c>
      <c r="B17" s="60">
        <f>INTERCEPT('Final Project Dataset'!$H$2:$H$251,'Final Project Dataset'!$F$2:$F$251)</f>
        <v>317.96248109871476</v>
      </c>
      <c r="C17" s="60">
        <f>B7*SQRT(1/B8+AVERAGE('Final Project Dataset'!$F$2:$F$251)^2/DEVSQ('Final Project Dataset'!$F$2:$F$251))</f>
        <v>101.30574521786019</v>
      </c>
      <c r="D17" s="20">
        <f>B17/C17</f>
        <v>3.1386421413211028</v>
      </c>
      <c r="E17" s="59">
        <f>TDIST(ABS(D17),$B$13,2)</f>
        <v>1.9027543496420488E-3</v>
      </c>
      <c r="F17" s="56">
        <f>B17-TINV(0.05,$B$13)*C17</f>
        <v>118.4331517451684</v>
      </c>
      <c r="G17" s="56">
        <f>B17+TINV(0.05,$B$13)*C17</f>
        <v>517.49181045226112</v>
      </c>
    </row>
    <row r="18" spans="1:7" x14ac:dyDescent="0.3">
      <c r="A18" s="12" t="s">
        <v>655</v>
      </c>
      <c r="B18" s="61">
        <f>SLOPE('Final Project Dataset'!$H$2:$H$251,'Final Project Dataset'!$F$2:$F$251)</f>
        <v>0.13695940343537424</v>
      </c>
      <c r="C18" s="61">
        <f>B7/SQRT(DEVSQ('Final Project Dataset'!$F$2:$F$251))</f>
        <v>3.0028143010872358E-3</v>
      </c>
      <c r="D18" s="20">
        <f>B18/C18</f>
        <v>45.61034739503706</v>
      </c>
      <c r="E18" s="59">
        <f>TDIST(ABS(D18),$B$13,2)</f>
        <v>1.341585818571942E-122</v>
      </c>
      <c r="F18" s="56">
        <f>B18-TINV(0.05,$B$13)*C18</f>
        <v>0.13104513349559255</v>
      </c>
      <c r="G18" s="56">
        <f>B18+TINV(0.05,$B$13)*C18</f>
        <v>0.14287367337515594</v>
      </c>
    </row>
    <row r="20" spans="1:7" x14ac:dyDescent="0.3">
      <c r="A20" s="53" t="s">
        <v>656</v>
      </c>
    </row>
    <row r="21" spans="1:7" x14ac:dyDescent="0.3">
      <c r="A21" s="12" t="s">
        <v>657</v>
      </c>
      <c r="B21" s="36">
        <v>50000</v>
      </c>
    </row>
    <row r="22" spans="1:7" x14ac:dyDescent="0.3">
      <c r="A22" s="9" t="s">
        <v>658</v>
      </c>
      <c r="B22" s="15">
        <f>B17+B18*B21</f>
        <v>7165.9326528674264</v>
      </c>
    </row>
    <row r="23" spans="1:7" x14ac:dyDescent="0.3">
      <c r="A23" s="5" t="s">
        <v>659</v>
      </c>
      <c r="B23" s="22" t="str">
        <f>"Every extra ₹1,000 of sales adds about ₹"&amp;TEXT(B18*1000,"#,##0")&amp;" of profit; sales explain "&amp;TEXT(B5,"0.0%")&amp;" of profit variation."</f>
        <v>Every extra ₹1,000 of sales adds about ₹137 of profit; sales explain 89.3% of profit variation.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C12"/>
  <sheetViews>
    <sheetView tabSelected="1" zoomScaleNormal="100" workbookViewId="0">
      <selection sqref="A1:C1"/>
    </sheetView>
  </sheetViews>
  <sheetFormatPr defaultColWidth="8.6640625" defaultRowHeight="14.4" x14ac:dyDescent="0.3"/>
  <cols>
    <col min="1" max="1" width="30" customWidth="1"/>
    <col min="2" max="2" width="52" customWidth="1"/>
    <col min="3" max="3" width="80" customWidth="1"/>
  </cols>
  <sheetData>
    <row r="1" spans="1:3" ht="30" customHeight="1" x14ac:dyDescent="0.3">
      <c r="A1" s="3" t="s">
        <v>660</v>
      </c>
      <c r="B1" s="3"/>
      <c r="C1" s="3"/>
    </row>
    <row r="2" spans="1:3" x14ac:dyDescent="0.3">
      <c r="A2" s="4" t="s">
        <v>661</v>
      </c>
    </row>
    <row r="3" spans="1:3" x14ac:dyDescent="0.3">
      <c r="A3" s="8" t="s">
        <v>662</v>
      </c>
      <c r="B3" s="8" t="s">
        <v>663</v>
      </c>
      <c r="C3" s="8" t="s">
        <v>664</v>
      </c>
    </row>
    <row r="4" spans="1:3" ht="48" customHeight="1" x14ac:dyDescent="0.3">
      <c r="A4" s="62" t="s">
        <v>665</v>
      </c>
      <c r="B4" s="62" t="s">
        <v>666</v>
      </c>
      <c r="C4" s="62" t="s">
        <v>667</v>
      </c>
    </row>
    <row r="5" spans="1:3" ht="48" customHeight="1" x14ac:dyDescent="0.3">
      <c r="A5" s="62" t="s">
        <v>668</v>
      </c>
      <c r="B5" s="62" t="s">
        <v>669</v>
      </c>
      <c r="C5" s="62" t="s">
        <v>670</v>
      </c>
    </row>
    <row r="6" spans="1:3" ht="48" customHeight="1" x14ac:dyDescent="0.3">
      <c r="A6" s="62" t="s">
        <v>671</v>
      </c>
      <c r="B6" s="62" t="s">
        <v>672</v>
      </c>
      <c r="C6" s="62" t="s">
        <v>673</v>
      </c>
    </row>
    <row r="7" spans="1:3" ht="48" customHeight="1" x14ac:dyDescent="0.3">
      <c r="A7" s="62" t="s">
        <v>674</v>
      </c>
      <c r="B7" s="62" t="s">
        <v>675</v>
      </c>
      <c r="C7" s="62" t="s">
        <v>676</v>
      </c>
    </row>
    <row r="8" spans="1:3" ht="48" customHeight="1" x14ac:dyDescent="0.3">
      <c r="A8" s="62" t="s">
        <v>677</v>
      </c>
      <c r="B8" s="62" t="s">
        <v>678</v>
      </c>
      <c r="C8" s="62" t="s">
        <v>679</v>
      </c>
    </row>
    <row r="9" spans="1:3" ht="48" customHeight="1" x14ac:dyDescent="0.3">
      <c r="A9" s="62" t="s">
        <v>680</v>
      </c>
      <c r="B9" s="62" t="s">
        <v>681</v>
      </c>
      <c r="C9" s="62" t="s">
        <v>682</v>
      </c>
    </row>
    <row r="10" spans="1:3" ht="48" customHeight="1" x14ac:dyDescent="0.3">
      <c r="A10" s="62" t="s">
        <v>683</v>
      </c>
      <c r="B10" s="62" t="s">
        <v>684</v>
      </c>
      <c r="C10" s="62" t="s">
        <v>685</v>
      </c>
    </row>
    <row r="11" spans="1:3" ht="48" customHeight="1" x14ac:dyDescent="0.3">
      <c r="A11" s="62" t="s">
        <v>686</v>
      </c>
      <c r="B11" s="62" t="s">
        <v>687</v>
      </c>
      <c r="C11" s="62" t="s">
        <v>688</v>
      </c>
    </row>
    <row r="12" spans="1:3" ht="48" customHeight="1" x14ac:dyDescent="0.3">
      <c r="A12" s="62" t="s">
        <v>689</v>
      </c>
      <c r="B12" s="62" t="s">
        <v>690</v>
      </c>
      <c r="C12" s="62" t="s">
        <v>691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Report</vt:lpstr>
      <vt:lpstr>Final Project Dataset</vt:lpstr>
      <vt:lpstr>Pivot_Tables</vt:lpstr>
      <vt:lpstr>FILTER_Demo</vt:lpstr>
      <vt:lpstr>High_Value_Customers</vt:lpstr>
      <vt:lpstr>Frequency_Match</vt:lpstr>
      <vt:lpstr>Text_Abbrev</vt:lpstr>
      <vt:lpstr>Date_Time</vt:lpstr>
      <vt:lpstr>WhatIf</vt:lpstr>
      <vt:lpstr>Regression</vt:lpstr>
      <vt:lpstr>HowTo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Dharmendra Rajput</cp:lastModifiedBy>
  <cp:revision>2</cp:revision>
  <dcterms:created xsi:type="dcterms:W3CDTF">2026-10-30T10:12:05Z</dcterms:created>
  <dcterms:modified xsi:type="dcterms:W3CDTF">2026-10-30T10:33:06Z</dcterms:modified>
  <dc:language>en-US</dc:language>
</cp:coreProperties>
</file>